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ek\Documents\Repos\Untitled Folder\"/>
    </mc:Choice>
  </mc:AlternateContent>
  <xr:revisionPtr revIDLastSave="0" documentId="13_ncr:1_{7C69D404-E492-476D-B88A-358546604463}" xr6:coauthVersionLast="45" xr6:coauthVersionMax="45" xr10:uidLastSave="{00000000-0000-0000-0000-000000000000}"/>
  <bookViews>
    <workbookView xWindow="-120" yWindow="-120" windowWidth="29040" windowHeight="15840" xr2:uid="{5A44CEA2-4892-4B2F-BEAD-5865D9D0BCAC}"/>
  </bookViews>
  <sheets>
    <sheet name="Sheet1" sheetId="1" r:id="rId1"/>
  </sheets>
  <definedNames>
    <definedName name="_xlnm._FilterDatabase" localSheetId="0" hidden="1">Sheet1!$C$1:$C$203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" i="1"/>
</calcChain>
</file>

<file path=xl/sharedStrings.xml><?xml version="1.0" encoding="utf-8"?>
<sst xmlns="http://schemas.openxmlformats.org/spreadsheetml/2006/main" count="608" uniqueCount="417">
  <si>
    <t>Company</t>
  </si>
  <si>
    <t>Symbol</t>
  </si>
  <si>
    <t>Industry</t>
  </si>
  <si>
    <t>Offer Date</t>
  </si>
  <si>
    <t>Shares (millions)</t>
  </si>
  <si>
    <t>Offer Price</t>
  </si>
  <si>
    <t>1st Day Close</t>
  </si>
  <si>
    <t>Current Price</t>
  </si>
  <si>
    <t>Return</t>
  </si>
  <si>
    <t>Consumer Services</t>
  </si>
  <si>
    <t>4D Molecular Therapeutics</t>
  </si>
  <si>
    <t>FDMT</t>
  </si>
  <si>
    <t>Health Care</t>
  </si>
  <si>
    <t>AbCellera Biologics</t>
  </si>
  <si>
    <t>ABCL</t>
  </si>
  <si>
    <t>Certara</t>
  </si>
  <si>
    <t>CERT</t>
  </si>
  <si>
    <t>Technology</t>
  </si>
  <si>
    <t>Vivos Therapeutics</t>
  </si>
  <si>
    <t>VVOS</t>
  </si>
  <si>
    <t>Airbnb, Inc.</t>
  </si>
  <si>
    <t>ABNB</t>
  </si>
  <si>
    <t>Hydrofarm Holdings Group, Inc.</t>
  </si>
  <si>
    <t>HYFM</t>
  </si>
  <si>
    <t>Consumer Goods</t>
  </si>
  <si>
    <t>C3.ai</t>
  </si>
  <si>
    <t>AI</t>
  </si>
  <si>
    <t>DoorDash, Inc.</t>
  </si>
  <si>
    <t>DASH</t>
  </si>
  <si>
    <t>PubMatic</t>
  </si>
  <si>
    <t>PUBM</t>
  </si>
  <si>
    <t>17 Education &amp; Technology Group</t>
  </si>
  <si>
    <t>YQ</t>
  </si>
  <si>
    <t>Seer, Inc.</t>
  </si>
  <si>
    <t>SEER</t>
  </si>
  <si>
    <t>Sigilon Therapeutics, Inc.</t>
  </si>
  <si>
    <t>SGTX</t>
  </si>
  <si>
    <t>Kinnate BioPharma Inc.</t>
  </si>
  <si>
    <t>KNTE</t>
  </si>
  <si>
    <t>HF Enterprises</t>
  </si>
  <si>
    <t>HFEN</t>
  </si>
  <si>
    <t>Financials</t>
  </si>
  <si>
    <t>Ozon Holdings PLC</t>
  </si>
  <si>
    <t>OZON</t>
  </si>
  <si>
    <t>Vision Marine Technologies</t>
  </si>
  <si>
    <t>VMAR</t>
  </si>
  <si>
    <t>Maravai LifeSciences Holdings</t>
  </si>
  <si>
    <t>MRVI</t>
  </si>
  <si>
    <t>Sotera Health Company</t>
  </si>
  <si>
    <t>SHC</t>
  </si>
  <si>
    <t>NeoGames S.A.</t>
  </si>
  <si>
    <t>NGMS</t>
  </si>
  <si>
    <t>Olema Pharmaceuticals</t>
  </si>
  <si>
    <t>OLMA</t>
  </si>
  <si>
    <t>Yatsen Holding Limited</t>
  </si>
  <si>
    <t>YSG</t>
  </si>
  <si>
    <t>Atea Pharmaceuticals</t>
  </si>
  <si>
    <t>AVIR</t>
  </si>
  <si>
    <t>Lufax Holding Ltd</t>
  </si>
  <si>
    <t>LU</t>
  </si>
  <si>
    <t>SQZ Biotechnologies</t>
  </si>
  <si>
    <t>SQZ</t>
  </si>
  <si>
    <t>Allegro MicroSystems</t>
  </si>
  <si>
    <t>ALGM</t>
  </si>
  <si>
    <t>Galecto</t>
  </si>
  <si>
    <t>GLTO</t>
  </si>
  <si>
    <t>Leslie’s</t>
  </si>
  <si>
    <t>LESL</t>
  </si>
  <si>
    <t>Biodesix</t>
  </si>
  <si>
    <t>BDSX</t>
  </si>
  <si>
    <t>Gatos Silver</t>
  </si>
  <si>
    <t>GATO</t>
  </si>
  <si>
    <t>Basic Materials</t>
  </si>
  <si>
    <t>MediaAlpha, Inc.</t>
  </si>
  <si>
    <t>MAX</t>
  </si>
  <si>
    <t>ROOT, INC.</t>
  </si>
  <si>
    <t>ROOT</t>
  </si>
  <si>
    <t>Foghorn Therapeutics Inc.</t>
  </si>
  <si>
    <t>FHTX</t>
  </si>
  <si>
    <t>Abcam plc</t>
  </si>
  <si>
    <t>ABCM</t>
  </si>
  <si>
    <t>BCLS Acquisition Corp.</t>
  </si>
  <si>
    <t>BLSA</t>
  </si>
  <si>
    <t>Blank Check</t>
  </si>
  <si>
    <t>Guild Holdings Company</t>
  </si>
  <si>
    <t>GHLD</t>
  </si>
  <si>
    <t>McAfee Corp.</t>
  </si>
  <si>
    <t>MCFE</t>
  </si>
  <si>
    <t>Datto Holding Corp.</t>
  </si>
  <si>
    <t>MSP</t>
  </si>
  <si>
    <t>MingZhu Logistics Holdings</t>
  </si>
  <si>
    <t>YGMZ</t>
  </si>
  <si>
    <t>HELIX ACQUISITION CORP.</t>
  </si>
  <si>
    <t>HLXA</t>
  </si>
  <si>
    <t>Aligos Therapeutics, Inc.</t>
  </si>
  <si>
    <t>ALGS</t>
  </si>
  <si>
    <t>Eargo, Inc.</t>
  </si>
  <si>
    <t>EAR</t>
  </si>
  <si>
    <t>Kiromic Biopharma</t>
  </si>
  <si>
    <t>KRBP</t>
  </si>
  <si>
    <t>PRAXIS PRECISION MEDICINES, INC.</t>
  </si>
  <si>
    <t>PRAX</t>
  </si>
  <si>
    <t>TARSUS PHARMACEUTICALS, INC.</t>
  </si>
  <si>
    <t>TARS</t>
  </si>
  <si>
    <t>ARRAY TECHNOLOGIES, INC.</t>
  </si>
  <si>
    <t>ARRY</t>
  </si>
  <si>
    <t>Industrials</t>
  </si>
  <si>
    <t>MINISO Group Holding Limited</t>
  </si>
  <si>
    <t>MNSO</t>
  </si>
  <si>
    <t>Codiak BioSciences, Inc.</t>
  </si>
  <si>
    <t>CDAK</t>
  </si>
  <si>
    <t>iHuman Inc.</t>
  </si>
  <si>
    <t>IH</t>
  </si>
  <si>
    <t>Kronos Bio, Inc.</t>
  </si>
  <si>
    <t>KRON</t>
  </si>
  <si>
    <t>Spruce Biosciences, Inc.</t>
  </si>
  <si>
    <t>SPRB</t>
  </si>
  <si>
    <t>AZIYO BIOLOGICS, INC.</t>
  </si>
  <si>
    <t>AZYO</t>
  </si>
  <si>
    <t>fuboTV Inc. (formerly FaceBank Group, Inc.)</t>
  </si>
  <si>
    <t>FUBO</t>
  </si>
  <si>
    <t>Presidio Property Trust</t>
  </si>
  <si>
    <t>SQFT</t>
  </si>
  <si>
    <t>Academy Sports + Outdoors</t>
  </si>
  <si>
    <t>ASO</t>
  </si>
  <si>
    <t>C4 Therapeutics, Inc.</t>
  </si>
  <si>
    <t>CCCC</t>
  </si>
  <si>
    <t>IMMUNOME, INC.</t>
  </si>
  <si>
    <t>IMNM</t>
  </si>
  <si>
    <t>Oncorus, Inc.</t>
  </si>
  <si>
    <t>ONCR</t>
  </si>
  <si>
    <t>Lixiang Education Holding Co., Ltd.</t>
  </si>
  <si>
    <t>LXEH</t>
  </si>
  <si>
    <t>Mission Produce, Inc.</t>
  </si>
  <si>
    <t>AVO</t>
  </si>
  <si>
    <t>Pulmonx Corp.</t>
  </si>
  <si>
    <t>LUNG</t>
  </si>
  <si>
    <t>Thryv Holdings, Inc.</t>
  </si>
  <si>
    <t>THRY</t>
  </si>
  <si>
    <t>Boqii Holding Limited</t>
  </si>
  <si>
    <t>BQ</t>
  </si>
  <si>
    <t>Chindata Group Holdings Limited</t>
  </si>
  <si>
    <t>CD</t>
  </si>
  <si>
    <t>Palantir Technologies</t>
  </si>
  <si>
    <t>PLTR</t>
  </si>
  <si>
    <t>Yalla Group Limited</t>
  </si>
  <si>
    <t>YALA</t>
  </si>
  <si>
    <t>Orphazyme A/S</t>
  </si>
  <si>
    <t>ORPH</t>
  </si>
  <si>
    <t>Amesite</t>
  </si>
  <si>
    <t>AMST</t>
  </si>
  <si>
    <t>Graybug Vision</t>
  </si>
  <si>
    <t>GRAY</t>
  </si>
  <si>
    <t>Greenwich LifeSciences</t>
  </si>
  <si>
    <t>GLSI</t>
  </si>
  <si>
    <t>PMV Pharmaceuticals</t>
  </si>
  <si>
    <t>PMVP</t>
  </si>
  <si>
    <t>Prelude Therapeutics</t>
  </si>
  <si>
    <t>PRLD</t>
  </si>
  <si>
    <t>VIA optronics AG</t>
  </si>
  <si>
    <t>VIAO</t>
  </si>
  <si>
    <t>Taysha Gene Therapies, Inc.</t>
  </si>
  <si>
    <t>TSHA</t>
  </si>
  <si>
    <t>Bentley Systems</t>
  </si>
  <si>
    <t>BSY</t>
  </si>
  <si>
    <t>Corsair Gaming</t>
  </si>
  <si>
    <t>CRSR</t>
  </si>
  <si>
    <t>GoodRx Holdings</t>
  </si>
  <si>
    <t>GDRX</t>
  </si>
  <si>
    <t>Laird Superfood, Inc.</t>
  </si>
  <si>
    <t>LSF</t>
  </si>
  <si>
    <t>Athira Pharma</t>
  </si>
  <si>
    <t>ATHA</t>
  </si>
  <si>
    <t>COMPASS Pathways plc</t>
  </si>
  <si>
    <t>CMPS</t>
  </si>
  <si>
    <t>Unity Software Inc.</t>
  </si>
  <si>
    <t>U</t>
  </si>
  <si>
    <t>Vitru Ltd.</t>
  </si>
  <si>
    <t>VTRU</t>
  </si>
  <si>
    <t>American Well Corp.</t>
  </si>
  <si>
    <t>AMWL</t>
  </si>
  <si>
    <t>Broadstone Net Lease</t>
  </si>
  <si>
    <t>BNL</t>
  </si>
  <si>
    <t>Pactiv Evergreen</t>
  </si>
  <si>
    <t>PTVE</t>
  </si>
  <si>
    <t>Sumo Logic, Inc.</t>
  </si>
  <si>
    <t>SUMO</t>
  </si>
  <si>
    <t>Applied UV, Inc.</t>
  </si>
  <si>
    <t>AUVI</t>
  </si>
  <si>
    <t>Harbor Custom Development</t>
  </si>
  <si>
    <t>HCDI</t>
  </si>
  <si>
    <t>XPeng</t>
  </si>
  <si>
    <t>XPEV</t>
  </si>
  <si>
    <t>Kymera Therapeutics</t>
  </si>
  <si>
    <t>KYMR</t>
  </si>
  <si>
    <t>Nano-X Imaging Ltd.</t>
  </si>
  <si>
    <t>NNOX</t>
  </si>
  <si>
    <t>Harmony Biosciences Holdings</t>
  </si>
  <si>
    <t>HRMY</t>
  </si>
  <si>
    <t>Inhibrx</t>
  </si>
  <si>
    <t>INBX</t>
  </si>
  <si>
    <t>CureVac B.V.</t>
  </si>
  <si>
    <t>CVAC</t>
  </si>
  <si>
    <t>Duck Creek Technologies</t>
  </si>
  <si>
    <t>DCT</t>
  </si>
  <si>
    <t>NETSTREIT</t>
  </si>
  <si>
    <t>NTST</t>
  </si>
  <si>
    <t>FS Development</t>
  </si>
  <si>
    <t>FSDC</t>
  </si>
  <si>
    <t>ARYA Sciences Acquisition Corp III</t>
  </si>
  <si>
    <t>ARYA</t>
  </si>
  <si>
    <t>Checkmate Pharmaceuticals</t>
  </si>
  <si>
    <t>CMPI</t>
  </si>
  <si>
    <t>Freeline Therapeutics Holdings plc</t>
  </si>
  <si>
    <t>FRLN</t>
  </si>
  <si>
    <t>IBEX Ltd.</t>
  </si>
  <si>
    <t>IBEX</t>
  </si>
  <si>
    <t>Acutus Medical</t>
  </si>
  <si>
    <t>AFIB</t>
  </si>
  <si>
    <t>Oak Street Health</t>
  </si>
  <si>
    <t>OSH</t>
  </si>
  <si>
    <t>Rocket Companies</t>
  </si>
  <si>
    <t>RKT</t>
  </si>
  <si>
    <t>BigCommerce Holdings</t>
  </si>
  <si>
    <t>BIGC</t>
  </si>
  <si>
    <t>Rackspace Technology</t>
  </si>
  <si>
    <t>RXT</t>
  </si>
  <si>
    <t>Health Sciences Acquisitions Corp 2</t>
  </si>
  <si>
    <t>HSAQ</t>
  </si>
  <si>
    <t>1847 Goedeker</t>
  </si>
  <si>
    <t>GOED</t>
  </si>
  <si>
    <t>Fathom Holdings</t>
  </si>
  <si>
    <t>FTHM</t>
  </si>
  <si>
    <t>Vasta Platform Limited</t>
  </si>
  <si>
    <t>VSTA</t>
  </si>
  <si>
    <t>Vital Farms, Inc.</t>
  </si>
  <si>
    <t>VITL</t>
  </si>
  <si>
    <t>AlloVir</t>
  </si>
  <si>
    <t>ALVR</t>
  </si>
  <si>
    <t>Li Auto</t>
  </si>
  <si>
    <t>LI</t>
  </si>
  <si>
    <t>Vertex</t>
  </si>
  <si>
    <t>VERX</t>
  </si>
  <si>
    <t>Annexon</t>
  </si>
  <si>
    <t>ANNX</t>
  </si>
  <si>
    <t>Inozyme Pharma</t>
  </si>
  <si>
    <t>INZY</t>
  </si>
  <si>
    <t>iTeos Therapeutics</t>
  </si>
  <si>
    <t>ITOS</t>
  </si>
  <si>
    <t>Nurix Therapeutics</t>
  </si>
  <si>
    <t>NRIX</t>
  </si>
  <si>
    <t>Montrose Environmental Group</t>
  </si>
  <si>
    <t>MEG</t>
  </si>
  <si>
    <t>Skillful Craftsman Education Technology Ltd.</t>
  </si>
  <si>
    <t>EDTK</t>
  </si>
  <si>
    <t>Jamf Holding</t>
  </si>
  <si>
    <t>JAMF</t>
  </si>
  <si>
    <t>ALX Oncology Holdings</t>
  </si>
  <si>
    <t>ALXO</t>
  </si>
  <si>
    <t>Berkeley Lights</t>
  </si>
  <si>
    <t>BLI</t>
  </si>
  <si>
    <t>Pandion Therapeutics Holdco</t>
  </si>
  <si>
    <t>PAND</t>
  </si>
  <si>
    <t>Relay Therapeutics</t>
  </si>
  <si>
    <t>RLAY</t>
  </si>
  <si>
    <t>Trean Insurance Group</t>
  </si>
  <si>
    <t>TIG</t>
  </si>
  <si>
    <t>GoHealth</t>
  </si>
  <si>
    <t>GOCO</t>
  </si>
  <si>
    <t>nCino</t>
  </si>
  <si>
    <t>NCNO</t>
  </si>
  <si>
    <t>Nkarta</t>
  </si>
  <si>
    <t>NKTX</t>
  </si>
  <si>
    <t>Poseida Therapeutics</t>
  </si>
  <si>
    <t>PSTX</t>
  </si>
  <si>
    <t>Quhuo Limited</t>
  </si>
  <si>
    <t>QH</t>
  </si>
  <si>
    <t>BlueCity Holdings</t>
  </si>
  <si>
    <t>BLCT</t>
  </si>
  <si>
    <t>Therapeutics Acquisition</t>
  </si>
  <si>
    <t>TXAC</t>
  </si>
  <si>
    <t>Accolade</t>
  </si>
  <si>
    <t>ACCD</t>
  </si>
  <si>
    <t>Lemonade</t>
  </si>
  <si>
    <t>LMND</t>
  </si>
  <si>
    <t>Dun &amp; Bradstreet Holdings</t>
  </si>
  <si>
    <t>DNB</t>
  </si>
  <si>
    <t>Agora</t>
  </si>
  <si>
    <t>API</t>
  </si>
  <si>
    <t>Akouos</t>
  </si>
  <si>
    <t>AKUS</t>
  </si>
  <si>
    <t>Albertsons Companies</t>
  </si>
  <si>
    <t>ACI</t>
  </si>
  <si>
    <t>Ebang International Holdings</t>
  </si>
  <si>
    <t>EBON</t>
  </si>
  <si>
    <t>Fusion Pharmaceuticals</t>
  </si>
  <si>
    <t>FUSN</t>
  </si>
  <si>
    <t>PolyPid</t>
  </si>
  <si>
    <t>PYPD</t>
  </si>
  <si>
    <t>Forma Therapeutics Holdings</t>
  </si>
  <si>
    <t>FMTX</t>
  </si>
  <si>
    <t>Genetron Holdings</t>
  </si>
  <si>
    <t>GTH</t>
  </si>
  <si>
    <t>Progenity</t>
  </si>
  <si>
    <t>PROG</t>
  </si>
  <si>
    <t>Repare Therapeutics</t>
  </si>
  <si>
    <t>RPTX</t>
  </si>
  <si>
    <t>Royalty Pharma plc</t>
  </si>
  <si>
    <t>RPRX</t>
  </si>
  <si>
    <t>Avidity Biosciences</t>
  </si>
  <si>
    <t>RNA</t>
  </si>
  <si>
    <t>AZEK Company (The)</t>
  </si>
  <si>
    <t>AZEK</t>
  </si>
  <si>
    <t>Burning Rock Biotech Ltd.</t>
  </si>
  <si>
    <t>BNR</t>
  </si>
  <si>
    <t>Generation Bio</t>
  </si>
  <si>
    <t>GBIO</t>
  </si>
  <si>
    <t>Vaxcyte</t>
  </si>
  <si>
    <t>PCVX</t>
  </si>
  <si>
    <t>Lantern Pharma</t>
  </si>
  <si>
    <t>LTRN</t>
  </si>
  <si>
    <t>uCloudlink Group</t>
  </si>
  <si>
    <t>UCL</t>
  </si>
  <si>
    <t>Telecommunications</t>
  </si>
  <si>
    <t>Hudson Executive Investment</t>
  </si>
  <si>
    <t>HECCU</t>
  </si>
  <si>
    <t>Vroom</t>
  </si>
  <si>
    <t>VRM</t>
  </si>
  <si>
    <t>Applied Molecular Transport</t>
  </si>
  <si>
    <t>AMTI</t>
  </si>
  <si>
    <t>Dada Nexus Limited</t>
  </si>
  <si>
    <t>DADA</t>
  </si>
  <si>
    <t>Legend Biotech</t>
  </si>
  <si>
    <t>LEGN</t>
  </si>
  <si>
    <t>Shift4 Payments</t>
  </si>
  <si>
    <t>FOUR</t>
  </si>
  <si>
    <t>ZoomInfo Technologies</t>
  </si>
  <si>
    <t>ZI</t>
  </si>
  <si>
    <t>Pliant Therapeutics</t>
  </si>
  <si>
    <t>PLRX</t>
  </si>
  <si>
    <t>Warner Music Group</t>
  </si>
  <si>
    <t>WMG</t>
  </si>
  <si>
    <t>Inari Medical</t>
  </si>
  <si>
    <t>NARI</t>
  </si>
  <si>
    <t>SelectQuote</t>
  </si>
  <si>
    <t>SLQT</t>
  </si>
  <si>
    <t>ADC Therapeutics SA</t>
  </si>
  <si>
    <t>ADCT</t>
  </si>
  <si>
    <t>Ayala Pharmaceuticals</t>
  </si>
  <si>
    <t>AYLA</t>
  </si>
  <si>
    <t>China Liberal Education Holdings</t>
  </si>
  <si>
    <t>CLEU</t>
  </si>
  <si>
    <t>Kingsoft Cloud Holdings</t>
  </si>
  <si>
    <t>KC</t>
  </si>
  <si>
    <t>Lyra Therapeutics</t>
  </si>
  <si>
    <t>LYRA</t>
  </si>
  <si>
    <t>ORIC Pharmaceuticals</t>
  </si>
  <si>
    <t>ORIC</t>
  </si>
  <si>
    <t>Keros Therapeutics</t>
  </si>
  <si>
    <t>KROS</t>
  </si>
  <si>
    <t>Zentalis Pharmaceuticals</t>
  </si>
  <si>
    <t>ZNTL</t>
  </si>
  <si>
    <t>WiMi Hologram Cloud</t>
  </si>
  <si>
    <t>WIMI</t>
  </si>
  <si>
    <t>IMARA Inc.</t>
  </si>
  <si>
    <t>IMRA</t>
  </si>
  <si>
    <t>GFL Environmental Holdings</t>
  </si>
  <si>
    <t>GFL</t>
  </si>
  <si>
    <t>Passage BIO</t>
  </si>
  <si>
    <t>PASG</t>
  </si>
  <si>
    <t>ZHONGCHAO</t>
  </si>
  <si>
    <t>ZCMD</t>
  </si>
  <si>
    <t>Muscle Maker</t>
  </si>
  <si>
    <t>GRIL</t>
  </si>
  <si>
    <t>Revolution Medicines</t>
  </si>
  <si>
    <t>RVMD</t>
  </si>
  <si>
    <t>Huize Holding Ltd.</t>
  </si>
  <si>
    <t>HUIZ</t>
  </si>
  <si>
    <t>NexPoint Real Estate Finance</t>
  </si>
  <si>
    <t>NREF</t>
  </si>
  <si>
    <t>OneWater Marine</t>
  </si>
  <si>
    <t>ONEW</t>
  </si>
  <si>
    <t>Beam Therapeutics</t>
  </si>
  <si>
    <t>BEAM</t>
  </si>
  <si>
    <t>Casper Sleep</t>
  </si>
  <si>
    <t>CSPR</t>
  </si>
  <si>
    <t>PPD</t>
  </si>
  <si>
    <t>Schrodinger</t>
  </si>
  <si>
    <t>SDGR</t>
  </si>
  <si>
    <t>1Life Healthcare</t>
  </si>
  <si>
    <t>ONEM</t>
  </si>
  <si>
    <t>Arcutis Biotherapeutics</t>
  </si>
  <si>
    <t>ARQT</t>
  </si>
  <si>
    <t>Reynolds Consumer Products</t>
  </si>
  <si>
    <t>REYN</t>
  </si>
  <si>
    <t>AnPac Bio-Medical Science</t>
  </si>
  <si>
    <t>ANPC</t>
  </si>
  <si>
    <t>Black Diamond Therapeutics</t>
  </si>
  <si>
    <t>BDTX</t>
  </si>
  <si>
    <t>Annovis Bio</t>
  </si>
  <si>
    <t>ANVS</t>
  </si>
  <si>
    <t>I-MAB</t>
  </si>
  <si>
    <t>IMAB</t>
  </si>
  <si>
    <t>LIZHI</t>
  </si>
  <si>
    <t>LIZI</t>
  </si>
  <si>
    <t>Phoenix Tree Holdings Ltd.</t>
  </si>
  <si>
    <t>DNK</t>
  </si>
  <si>
    <t>Velocity Financial</t>
  </si>
  <si>
    <t>VEL</t>
  </si>
  <si>
    <t>Molecular Data</t>
  </si>
  <si>
    <t>MKD</t>
  </si>
  <si>
    <t>Indonesia Energy Corp Ltd.</t>
  </si>
  <si>
    <t>INDO</t>
  </si>
  <si>
    <t>Monopar Therapeutics</t>
  </si>
  <si>
    <t>MNPR</t>
  </si>
  <si>
    <t>1st Day Jump</t>
  </si>
  <si>
    <t>FromIPO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</si>
</sst>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.6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2756D"/>
        <bgColor indexed="64"/>
      </patternFill>
    </fill>
    <fill>
      <patternFill patternType="solid">
        <fgColor rgb="FF284E48"/>
        <bgColor indexed="64"/>
      </patternFill>
    </fill>
    <fill>
      <patternFill patternType="solid">
        <fgColor rgb="FFF7FD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/>
      <bottom style="dotted">
        <color rgb="FFDDDDDD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4" fillId="2" borderId="2" xfId="2" applyFill="1" applyBorder="1" applyAlignment="1">
      <alignment horizontal="left" vertical="center" wrapText="1" indent="1" readingOrder="1"/>
    </xf>
    <xf numFmtId="0" fontId="4" fillId="2" borderId="2" xfId="2" applyFill="1" applyBorder="1" applyAlignment="1">
      <alignment horizontal="center" vertical="center" wrapText="1" readingOrder="1"/>
    </xf>
    <xf numFmtId="14" fontId="3" fillId="2" borderId="2" xfId="0" applyNumberFormat="1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8" fontId="3" fillId="2" borderId="2" xfId="0" applyNumberFormat="1" applyFont="1" applyFill="1" applyBorder="1" applyAlignment="1">
      <alignment horizontal="center" vertical="center" wrapText="1" readingOrder="1"/>
    </xf>
    <xf numFmtId="10" fontId="3" fillId="2" borderId="2" xfId="0" applyNumberFormat="1" applyFont="1" applyFill="1" applyBorder="1" applyAlignment="1">
      <alignment horizontal="center" vertical="center" wrapText="1" readingOrder="1"/>
    </xf>
    <xf numFmtId="0" fontId="4" fillId="5" borderId="2" xfId="2" applyFill="1" applyBorder="1" applyAlignment="1">
      <alignment horizontal="left" vertical="center" wrapText="1" indent="1" readingOrder="1"/>
    </xf>
    <xf numFmtId="0" fontId="4" fillId="5" borderId="2" xfId="2" applyFill="1" applyBorder="1" applyAlignment="1">
      <alignment horizontal="center" vertical="center" wrapText="1" readingOrder="1"/>
    </xf>
    <xf numFmtId="14" fontId="3" fillId="5" borderId="2" xfId="0" applyNumberFormat="1" applyFont="1" applyFill="1" applyBorder="1" applyAlignment="1">
      <alignment horizontal="center" vertical="center" wrapText="1" readingOrder="1"/>
    </xf>
    <xf numFmtId="0" fontId="3" fillId="5" borderId="2" xfId="0" applyFont="1" applyFill="1" applyBorder="1" applyAlignment="1">
      <alignment horizontal="center" vertical="center" wrapText="1" readingOrder="1"/>
    </xf>
    <xf numFmtId="8" fontId="3" fillId="5" borderId="2" xfId="0" applyNumberFormat="1" applyFont="1" applyFill="1" applyBorder="1" applyAlignment="1">
      <alignment horizontal="center" vertical="center" wrapText="1" readingOrder="1"/>
    </xf>
    <xf numFmtId="10" fontId="3" fillId="5" borderId="2" xfId="0" applyNumberFormat="1" applyFont="1" applyFill="1" applyBorder="1" applyAlignment="1">
      <alignment horizontal="center" vertical="center" wrapText="1" readingOrder="1"/>
    </xf>
    <xf numFmtId="0" fontId="4" fillId="5" borderId="1" xfId="2" applyFill="1" applyBorder="1" applyAlignment="1">
      <alignment horizontal="left" vertical="center" wrapText="1" indent="1" readingOrder="1"/>
    </xf>
    <xf numFmtId="0" fontId="4" fillId="5" borderId="1" xfId="2" applyFill="1" applyBorder="1" applyAlignment="1">
      <alignment horizontal="center" vertical="center" wrapText="1" readingOrder="1"/>
    </xf>
    <xf numFmtId="14" fontId="3" fillId="5" borderId="1" xfId="0" applyNumberFormat="1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8" fontId="3" fillId="5" borderId="1" xfId="0" applyNumberFormat="1" applyFont="1" applyFill="1" applyBorder="1" applyAlignment="1">
      <alignment horizontal="center" vertical="center" wrapText="1" readingOrder="1"/>
    </xf>
    <xf numFmtId="10" fontId="3" fillId="5" borderId="1" xfId="0" applyNumberFormat="1" applyFont="1" applyFill="1" applyBorder="1" applyAlignment="1">
      <alignment horizontal="center" vertical="center" wrapText="1" readingOrder="1"/>
    </xf>
    <xf numFmtId="9" fontId="2" fillId="3" borderId="1" xfId="1" applyFont="1" applyFill="1" applyBorder="1" applyAlignment="1">
      <alignment horizontal="center" vertical="center" wrapText="1" readingOrder="1"/>
    </xf>
    <xf numFmtId="9" fontId="3" fillId="2" borderId="2" xfId="1" applyFont="1" applyFill="1" applyBorder="1" applyAlignment="1">
      <alignment horizontal="center" vertical="center" wrapText="1" readingOrder="1"/>
    </xf>
    <xf numFmtId="9" fontId="0" fillId="0" borderId="0" xfId="1" applyFont="1"/>
    <xf numFmtId="0" fontId="3" fillId="2" borderId="2" xfId="0" applyNumberFormat="1" applyFont="1" applyFill="1" applyBorder="1" applyAlignment="1">
      <alignment horizontal="center" vertical="center" wrapText="1" readingOrder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poscoop.com/specific-industry/?industry=Blank_Check&amp;justPriced=1" TargetMode="External"/><Relationship Id="rId21" Type="http://schemas.openxmlformats.org/officeDocument/2006/relationships/hyperlink" Target="https://www.iposcoop.com/specific-industry/?industry=Technology&amp;justPriced=1" TargetMode="External"/><Relationship Id="rId324" Type="http://schemas.openxmlformats.org/officeDocument/2006/relationships/hyperlink" Target="https://www.iposcoop.com/specific-industry/?industry=Financials&amp;justPriced=1" TargetMode="External"/><Relationship Id="rId531" Type="http://schemas.openxmlformats.org/officeDocument/2006/relationships/hyperlink" Target="https://www.iposcoop.com/specific-industry/?industry=Consumer_Services&amp;justPriced=1" TargetMode="External"/><Relationship Id="rId170" Type="http://schemas.openxmlformats.org/officeDocument/2006/relationships/hyperlink" Target="http://finance.yahoo.com/q?s=ONCR" TargetMode="External"/><Relationship Id="rId268" Type="http://schemas.openxmlformats.org/officeDocument/2006/relationships/hyperlink" Target="https://www.iposcoop.com/ipo/nano-x-imaging/" TargetMode="External"/><Relationship Id="rId475" Type="http://schemas.openxmlformats.org/officeDocument/2006/relationships/hyperlink" Target="https://www.iposcoop.com/ipo/shift4-payments/" TargetMode="External"/><Relationship Id="rId32" Type="http://schemas.openxmlformats.org/officeDocument/2006/relationships/hyperlink" Target="http://finance.yahoo.com/q?s=SEER" TargetMode="External"/><Relationship Id="rId128" Type="http://schemas.openxmlformats.org/officeDocument/2006/relationships/hyperlink" Target="http://finance.yahoo.com/q?s=PRAX" TargetMode="External"/><Relationship Id="rId335" Type="http://schemas.openxmlformats.org/officeDocument/2006/relationships/hyperlink" Target="http://finance.yahoo.com/q?s=LI" TargetMode="External"/><Relationship Id="rId542" Type="http://schemas.openxmlformats.org/officeDocument/2006/relationships/hyperlink" Target="http://finance.yahoo.com/q?s=NREF" TargetMode="External"/><Relationship Id="rId181" Type="http://schemas.openxmlformats.org/officeDocument/2006/relationships/hyperlink" Target="https://www.iposcoop.com/ipo/thryv-holdings-inc/" TargetMode="External"/><Relationship Id="rId402" Type="http://schemas.openxmlformats.org/officeDocument/2006/relationships/hyperlink" Target="https://www.iposcoop.com/specific-industry/?industry=Financials&amp;justPriced=1" TargetMode="External"/><Relationship Id="rId279" Type="http://schemas.openxmlformats.org/officeDocument/2006/relationships/hyperlink" Target="https://www.iposcoop.com/specific-industry/?industry=Health_Care&amp;justPriced=1" TargetMode="External"/><Relationship Id="rId486" Type="http://schemas.openxmlformats.org/officeDocument/2006/relationships/hyperlink" Target="https://www.iposcoop.com/specific-industry/?industry=Consumer_Goods&amp;justPriced=1" TargetMode="External"/><Relationship Id="rId43" Type="http://schemas.openxmlformats.org/officeDocument/2006/relationships/hyperlink" Target="https://www.iposcoop.com/ipo/ozon-holdings-plc/" TargetMode="External"/><Relationship Id="rId139" Type="http://schemas.openxmlformats.org/officeDocument/2006/relationships/hyperlink" Target="https://www.iposcoop.com/ipo/codiak-biosciences-inc/" TargetMode="External"/><Relationship Id="rId346" Type="http://schemas.openxmlformats.org/officeDocument/2006/relationships/hyperlink" Target="https://www.iposcoop.com/ipo/iteos-therapeutics/" TargetMode="External"/><Relationship Id="rId553" Type="http://schemas.openxmlformats.org/officeDocument/2006/relationships/hyperlink" Target="https://www.iposcoop.com/ipo/ppd/" TargetMode="External"/><Relationship Id="rId192" Type="http://schemas.openxmlformats.org/officeDocument/2006/relationships/hyperlink" Target="https://www.iposcoop.com/specific-industry/?industry=Technology&amp;justPriced=1" TargetMode="External"/><Relationship Id="rId206" Type="http://schemas.openxmlformats.org/officeDocument/2006/relationships/hyperlink" Target="http://finance.yahoo.com/q?s=GLSI" TargetMode="External"/><Relationship Id="rId413" Type="http://schemas.openxmlformats.org/officeDocument/2006/relationships/hyperlink" Target="http://finance.yahoo.com/q?s=ACI" TargetMode="External"/><Relationship Id="rId497" Type="http://schemas.openxmlformats.org/officeDocument/2006/relationships/hyperlink" Target="http://finance.yahoo.com/q?s=AYLA" TargetMode="External"/><Relationship Id="rId357" Type="http://schemas.openxmlformats.org/officeDocument/2006/relationships/hyperlink" Target="https://www.iposcoop.com/specific-industry/?industry=Consumer_Services&amp;justPriced=1" TargetMode="External"/><Relationship Id="rId54" Type="http://schemas.openxmlformats.org/officeDocument/2006/relationships/hyperlink" Target="https://www.iposcoop.com/specific-industry/?industry=Health_Care&amp;justPriced=1" TargetMode="External"/><Relationship Id="rId217" Type="http://schemas.openxmlformats.org/officeDocument/2006/relationships/hyperlink" Target="https://www.iposcoop.com/ipo/taysha-gene-therapies-inc/" TargetMode="External"/><Relationship Id="rId564" Type="http://schemas.openxmlformats.org/officeDocument/2006/relationships/hyperlink" Target="https://www.iposcoop.com/specific-industry/?industry=Health_Care&amp;justPriced=1" TargetMode="External"/><Relationship Id="rId424" Type="http://schemas.openxmlformats.org/officeDocument/2006/relationships/hyperlink" Target="https://www.iposcoop.com/ipo/forma-therapeutics-holdings/" TargetMode="External"/><Relationship Id="rId270" Type="http://schemas.openxmlformats.org/officeDocument/2006/relationships/hyperlink" Target="https://www.iposcoop.com/specific-industry/?industry=Health_Care&amp;justPriced=1" TargetMode="External"/><Relationship Id="rId65" Type="http://schemas.openxmlformats.org/officeDocument/2006/relationships/hyperlink" Target="http://finance.yahoo.com/q?s=AVIR" TargetMode="External"/><Relationship Id="rId130" Type="http://schemas.openxmlformats.org/officeDocument/2006/relationships/hyperlink" Target="https://www.iposcoop.com/ipo/tarsus-pharmaceuticals-inc/" TargetMode="External"/><Relationship Id="rId368" Type="http://schemas.openxmlformats.org/officeDocument/2006/relationships/hyperlink" Target="http://finance.yahoo.com/q?s=PAND" TargetMode="External"/><Relationship Id="rId575" Type="http://schemas.openxmlformats.org/officeDocument/2006/relationships/hyperlink" Target="http://finance.yahoo.com/q?s=ANVS" TargetMode="External"/><Relationship Id="rId228" Type="http://schemas.openxmlformats.org/officeDocument/2006/relationships/hyperlink" Target="https://www.iposcoop.com/specific-industry/?industry=Technology&amp;justPriced=1" TargetMode="External"/><Relationship Id="rId435" Type="http://schemas.openxmlformats.org/officeDocument/2006/relationships/hyperlink" Target="https://www.iposcoop.com/specific-industry/?industry=Health_Care&amp;justPriced=1" TargetMode="External"/><Relationship Id="rId281" Type="http://schemas.openxmlformats.org/officeDocument/2006/relationships/hyperlink" Target="http://finance.yahoo.com/q?s=DCT" TargetMode="External"/><Relationship Id="rId502" Type="http://schemas.openxmlformats.org/officeDocument/2006/relationships/hyperlink" Target="https://www.iposcoop.com/ipo/kingsoft-cloud-holdings/" TargetMode="External"/><Relationship Id="rId76" Type="http://schemas.openxmlformats.org/officeDocument/2006/relationships/hyperlink" Target="https://www.iposcoop.com/ipo/galecto-inc/" TargetMode="External"/><Relationship Id="rId141" Type="http://schemas.openxmlformats.org/officeDocument/2006/relationships/hyperlink" Target="https://www.iposcoop.com/specific-industry/?industry=Health_Care&amp;justPriced=1" TargetMode="External"/><Relationship Id="rId379" Type="http://schemas.openxmlformats.org/officeDocument/2006/relationships/hyperlink" Target="https://www.iposcoop.com/ipo/ncino/" TargetMode="External"/><Relationship Id="rId586" Type="http://schemas.openxmlformats.org/officeDocument/2006/relationships/hyperlink" Target="https://www.iposcoop.com/ipo/velocity-financial/" TargetMode="External"/><Relationship Id="rId7" Type="http://schemas.openxmlformats.org/officeDocument/2006/relationships/hyperlink" Target="https://www.iposcoop.com/ipo/certara/" TargetMode="External"/><Relationship Id="rId239" Type="http://schemas.openxmlformats.org/officeDocument/2006/relationships/hyperlink" Target="http://finance.yahoo.com/q?s=U" TargetMode="External"/><Relationship Id="rId446" Type="http://schemas.openxmlformats.org/officeDocument/2006/relationships/hyperlink" Target="http://finance.yahoo.com/q?s=BNR" TargetMode="External"/><Relationship Id="rId292" Type="http://schemas.openxmlformats.org/officeDocument/2006/relationships/hyperlink" Target="https://www.iposcoop.com/ipo/checkmate-pharmaceuticals/" TargetMode="External"/><Relationship Id="rId306" Type="http://schemas.openxmlformats.org/officeDocument/2006/relationships/hyperlink" Target="https://www.iposcoop.com/specific-industry/?industry=Health_Care&amp;justPriced=1" TargetMode="External"/><Relationship Id="rId87" Type="http://schemas.openxmlformats.org/officeDocument/2006/relationships/hyperlink" Target="https://www.iposcoop.com/specific-industry/?industry=Basic_Materials&amp;justPriced=1" TargetMode="External"/><Relationship Id="rId513" Type="http://schemas.openxmlformats.org/officeDocument/2006/relationships/hyperlink" Target="https://www.iposcoop.com/specific-industry/?industry=Health_Care&amp;justPriced=1" TargetMode="External"/><Relationship Id="rId597" Type="http://schemas.openxmlformats.org/officeDocument/2006/relationships/hyperlink" Target="https://www.iposcoop.com/specific-industry/?industry=Health_Care&amp;justPriced=1" TargetMode="External"/><Relationship Id="rId152" Type="http://schemas.openxmlformats.org/officeDocument/2006/relationships/hyperlink" Target="http://finance.yahoo.com/q?s=AZYO" TargetMode="External"/><Relationship Id="rId457" Type="http://schemas.openxmlformats.org/officeDocument/2006/relationships/hyperlink" Target="https://www.iposcoop.com/ipo/ucloudlink-group/" TargetMode="External"/><Relationship Id="rId261" Type="http://schemas.openxmlformats.org/officeDocument/2006/relationships/hyperlink" Target="https://www.iposcoop.com/specific-industry/?industry=Financials&amp;justPriced=1" TargetMode="External"/><Relationship Id="rId499" Type="http://schemas.openxmlformats.org/officeDocument/2006/relationships/hyperlink" Target="https://www.iposcoop.com/ipo/china-liberal-education-holdings/" TargetMode="External"/><Relationship Id="rId14" Type="http://schemas.openxmlformats.org/officeDocument/2006/relationships/hyperlink" Target="http://finance.yahoo.com/q?s=ABNB" TargetMode="External"/><Relationship Id="rId56" Type="http://schemas.openxmlformats.org/officeDocument/2006/relationships/hyperlink" Target="http://finance.yahoo.com/q?s=NGMS" TargetMode="External"/><Relationship Id="rId317" Type="http://schemas.openxmlformats.org/officeDocument/2006/relationships/hyperlink" Target="http://finance.yahoo.com/q?s=HSAQ" TargetMode="External"/><Relationship Id="rId359" Type="http://schemas.openxmlformats.org/officeDocument/2006/relationships/hyperlink" Target="http://finance.yahoo.com/q?s=JAMF" TargetMode="External"/><Relationship Id="rId524" Type="http://schemas.openxmlformats.org/officeDocument/2006/relationships/hyperlink" Target="http://finance.yahoo.com/q?s=GFL" TargetMode="External"/><Relationship Id="rId566" Type="http://schemas.openxmlformats.org/officeDocument/2006/relationships/hyperlink" Target="http://finance.yahoo.com/q?s=REYN" TargetMode="External"/><Relationship Id="rId98" Type="http://schemas.openxmlformats.org/officeDocument/2006/relationships/hyperlink" Target="http://finance.yahoo.com/q?s=ABCM" TargetMode="External"/><Relationship Id="rId121" Type="http://schemas.openxmlformats.org/officeDocument/2006/relationships/hyperlink" Target="https://www.iposcoop.com/ipo/eargo-inc/" TargetMode="External"/><Relationship Id="rId163" Type="http://schemas.openxmlformats.org/officeDocument/2006/relationships/hyperlink" Target="https://www.iposcoop.com/ipo/c4-therapeutics-inc/" TargetMode="External"/><Relationship Id="rId219" Type="http://schemas.openxmlformats.org/officeDocument/2006/relationships/hyperlink" Target="https://www.iposcoop.com/specific-industry/?industry=Health_Care&amp;justPriced=1" TargetMode="External"/><Relationship Id="rId370" Type="http://schemas.openxmlformats.org/officeDocument/2006/relationships/hyperlink" Target="https://www.iposcoop.com/ipo/relay-therapeutics/" TargetMode="External"/><Relationship Id="rId426" Type="http://schemas.openxmlformats.org/officeDocument/2006/relationships/hyperlink" Target="https://www.iposcoop.com/specific-industry/?industry=Health_Care&amp;justPriced=1" TargetMode="External"/><Relationship Id="rId230" Type="http://schemas.openxmlformats.org/officeDocument/2006/relationships/hyperlink" Target="http://finance.yahoo.com/q?s=LSF" TargetMode="External"/><Relationship Id="rId468" Type="http://schemas.openxmlformats.org/officeDocument/2006/relationships/hyperlink" Target="https://www.iposcoop.com/specific-industry/?industry=Health_Care&amp;justPriced=1" TargetMode="External"/><Relationship Id="rId25" Type="http://schemas.openxmlformats.org/officeDocument/2006/relationships/hyperlink" Target="https://www.iposcoop.com/ipo/pubmatic-inc/" TargetMode="External"/><Relationship Id="rId67" Type="http://schemas.openxmlformats.org/officeDocument/2006/relationships/hyperlink" Target="https://www.iposcoop.com/ipo/lufax-holding-ltd/" TargetMode="External"/><Relationship Id="rId272" Type="http://schemas.openxmlformats.org/officeDocument/2006/relationships/hyperlink" Target="http://finance.yahoo.com/q?s=HRMY" TargetMode="External"/><Relationship Id="rId328" Type="http://schemas.openxmlformats.org/officeDocument/2006/relationships/hyperlink" Target="https://www.iposcoop.com/ipo/vital-farms-inc/" TargetMode="External"/><Relationship Id="rId535" Type="http://schemas.openxmlformats.org/officeDocument/2006/relationships/hyperlink" Target="https://www.iposcoop.com/ipo/revolution-medicines/" TargetMode="External"/><Relationship Id="rId577" Type="http://schemas.openxmlformats.org/officeDocument/2006/relationships/hyperlink" Target="https://www.iposcoop.com/ipo/i-mab/" TargetMode="External"/><Relationship Id="rId132" Type="http://schemas.openxmlformats.org/officeDocument/2006/relationships/hyperlink" Target="https://www.iposcoop.com/specific-industry/?industry=Health_Care&amp;justPriced=1" TargetMode="External"/><Relationship Id="rId174" Type="http://schemas.openxmlformats.org/officeDocument/2006/relationships/hyperlink" Target="https://www.iposcoop.com/specific-industry/?industry=Consumer_Services&amp;justPriced=1" TargetMode="External"/><Relationship Id="rId381" Type="http://schemas.openxmlformats.org/officeDocument/2006/relationships/hyperlink" Target="https://www.iposcoop.com/specific-industry/?industry=Technology&amp;justPriced=1" TargetMode="External"/><Relationship Id="rId241" Type="http://schemas.openxmlformats.org/officeDocument/2006/relationships/hyperlink" Target="https://www.iposcoop.com/ipo/vitru-ltd/" TargetMode="External"/><Relationship Id="rId437" Type="http://schemas.openxmlformats.org/officeDocument/2006/relationships/hyperlink" Target="http://finance.yahoo.com/q?s=RPRX" TargetMode="External"/><Relationship Id="rId479" Type="http://schemas.openxmlformats.org/officeDocument/2006/relationships/hyperlink" Target="http://finance.yahoo.com/q?s=ZI" TargetMode="External"/><Relationship Id="rId36" Type="http://schemas.openxmlformats.org/officeDocument/2006/relationships/hyperlink" Target="https://www.iposcoop.com/specific-industry/?industry=Health_Care&amp;justPriced=1" TargetMode="External"/><Relationship Id="rId283" Type="http://schemas.openxmlformats.org/officeDocument/2006/relationships/hyperlink" Target="https://www.iposcoop.com/ipo/netstreit-corp/" TargetMode="External"/><Relationship Id="rId339" Type="http://schemas.openxmlformats.org/officeDocument/2006/relationships/hyperlink" Target="https://www.iposcoop.com/specific-industry/?industry=Technology&amp;justPriced=1" TargetMode="External"/><Relationship Id="rId490" Type="http://schemas.openxmlformats.org/officeDocument/2006/relationships/hyperlink" Target="https://www.iposcoop.com/ipo/24450/" TargetMode="External"/><Relationship Id="rId504" Type="http://schemas.openxmlformats.org/officeDocument/2006/relationships/hyperlink" Target="https://www.iposcoop.com/specific-industry/?industry=Technology&amp;justPriced=1" TargetMode="External"/><Relationship Id="rId546" Type="http://schemas.openxmlformats.org/officeDocument/2006/relationships/hyperlink" Target="https://www.iposcoop.com/specific-industry/?industry=Consumer_Goods&amp;justPriced=1" TargetMode="External"/><Relationship Id="rId78" Type="http://schemas.openxmlformats.org/officeDocument/2006/relationships/hyperlink" Target="https://www.iposcoop.com/specific-industry/?industry=Health_Care&amp;justPriced=1" TargetMode="External"/><Relationship Id="rId101" Type="http://schemas.openxmlformats.org/officeDocument/2006/relationships/hyperlink" Target="http://finance.yahoo.com/q?s=BLSA" TargetMode="External"/><Relationship Id="rId143" Type="http://schemas.openxmlformats.org/officeDocument/2006/relationships/hyperlink" Target="http://finance.yahoo.com/q?s=IH" TargetMode="External"/><Relationship Id="rId185" Type="http://schemas.openxmlformats.org/officeDocument/2006/relationships/hyperlink" Target="http://finance.yahoo.com/q?s=BQ" TargetMode="External"/><Relationship Id="rId350" Type="http://schemas.openxmlformats.org/officeDocument/2006/relationships/hyperlink" Target="http://finance.yahoo.com/q?s=NRIX" TargetMode="External"/><Relationship Id="rId406" Type="http://schemas.openxmlformats.org/officeDocument/2006/relationships/hyperlink" Target="https://www.iposcoop.com/ipo/agora-inc/" TargetMode="External"/><Relationship Id="rId588" Type="http://schemas.openxmlformats.org/officeDocument/2006/relationships/hyperlink" Target="https://www.iposcoop.com/specific-industry/?industry=Financials&amp;justPriced=1" TargetMode="External"/><Relationship Id="rId9" Type="http://schemas.openxmlformats.org/officeDocument/2006/relationships/hyperlink" Target="https://www.iposcoop.com/specific-industry/?industry=Technology&amp;justPriced=1" TargetMode="External"/><Relationship Id="rId210" Type="http://schemas.openxmlformats.org/officeDocument/2006/relationships/hyperlink" Target="https://www.iposcoop.com/specific-industry/?industry=Health_Care&amp;justPriced=1" TargetMode="External"/><Relationship Id="rId392" Type="http://schemas.openxmlformats.org/officeDocument/2006/relationships/hyperlink" Target="http://finance.yahoo.com/q?s=BLCT" TargetMode="External"/><Relationship Id="rId448" Type="http://schemas.openxmlformats.org/officeDocument/2006/relationships/hyperlink" Target="https://www.iposcoop.com/ipo/generation-bio/" TargetMode="External"/><Relationship Id="rId252" Type="http://schemas.openxmlformats.org/officeDocument/2006/relationships/hyperlink" Target="https://www.iposcoop.com/specific-industry/?industry=Consumer_Goods&amp;justPriced=1" TargetMode="External"/><Relationship Id="rId294" Type="http://schemas.openxmlformats.org/officeDocument/2006/relationships/hyperlink" Target="https://www.iposcoop.com/specific-industry/?industry=Health_Care&amp;justPriced=1" TargetMode="External"/><Relationship Id="rId308" Type="http://schemas.openxmlformats.org/officeDocument/2006/relationships/hyperlink" Target="http://finance.yahoo.com/q?s=RKT" TargetMode="External"/><Relationship Id="rId515" Type="http://schemas.openxmlformats.org/officeDocument/2006/relationships/hyperlink" Target="http://finance.yahoo.com/q?s=ZNTL" TargetMode="External"/><Relationship Id="rId47" Type="http://schemas.openxmlformats.org/officeDocument/2006/relationships/hyperlink" Target="http://finance.yahoo.com/q?s=VMAR" TargetMode="External"/><Relationship Id="rId89" Type="http://schemas.openxmlformats.org/officeDocument/2006/relationships/hyperlink" Target="http://finance.yahoo.com/q?s=MAX" TargetMode="External"/><Relationship Id="rId112" Type="http://schemas.openxmlformats.org/officeDocument/2006/relationships/hyperlink" Target="https://www.iposcoop.com/ipo/mingzhu-logistics-holdings/" TargetMode="External"/><Relationship Id="rId154" Type="http://schemas.openxmlformats.org/officeDocument/2006/relationships/hyperlink" Target="https://www.iposcoop.com/ipo/fubotv-inc-formerly-facebank-group-inc/" TargetMode="External"/><Relationship Id="rId361" Type="http://schemas.openxmlformats.org/officeDocument/2006/relationships/hyperlink" Target="https://www.iposcoop.com/ipo/alx-oncology-holdings/" TargetMode="External"/><Relationship Id="rId557" Type="http://schemas.openxmlformats.org/officeDocument/2006/relationships/hyperlink" Target="http://finance.yahoo.com/q?s=SDGR" TargetMode="External"/><Relationship Id="rId196" Type="http://schemas.openxmlformats.org/officeDocument/2006/relationships/hyperlink" Target="https://www.iposcoop.com/ipo/orphazyme-as/" TargetMode="External"/><Relationship Id="rId417" Type="http://schemas.openxmlformats.org/officeDocument/2006/relationships/hyperlink" Target="https://www.iposcoop.com/specific-industry/?industry=Technology&amp;justPriced=1" TargetMode="External"/><Relationship Id="rId459" Type="http://schemas.openxmlformats.org/officeDocument/2006/relationships/hyperlink" Target="https://www.iposcoop.com/specific-industry/?industry=Telecommunications&amp;justPriced=1" TargetMode="External"/><Relationship Id="rId16" Type="http://schemas.openxmlformats.org/officeDocument/2006/relationships/hyperlink" Target="https://www.iposcoop.com/ipo/hydrofarm-holdings-group-inc/" TargetMode="External"/><Relationship Id="rId221" Type="http://schemas.openxmlformats.org/officeDocument/2006/relationships/hyperlink" Target="http://finance.yahoo.com/q?s=BSY" TargetMode="External"/><Relationship Id="rId263" Type="http://schemas.openxmlformats.org/officeDocument/2006/relationships/hyperlink" Target="http://finance.yahoo.com/q?s=XPEV" TargetMode="External"/><Relationship Id="rId319" Type="http://schemas.openxmlformats.org/officeDocument/2006/relationships/hyperlink" Target="https://www.iposcoop.com/ipo/1847-goedeker/" TargetMode="External"/><Relationship Id="rId470" Type="http://schemas.openxmlformats.org/officeDocument/2006/relationships/hyperlink" Target="http://finance.yahoo.com/q?s=DADA" TargetMode="External"/><Relationship Id="rId526" Type="http://schemas.openxmlformats.org/officeDocument/2006/relationships/hyperlink" Target="https://www.iposcoop.com/ipo/passage-bio/" TargetMode="External"/><Relationship Id="rId58" Type="http://schemas.openxmlformats.org/officeDocument/2006/relationships/hyperlink" Target="https://www.iposcoop.com/ipo/olema-pharmaceuticals-inc/" TargetMode="External"/><Relationship Id="rId123" Type="http://schemas.openxmlformats.org/officeDocument/2006/relationships/hyperlink" Target="https://www.iposcoop.com/specific-industry/?industry=Health_Care&amp;justPriced=1" TargetMode="External"/><Relationship Id="rId330" Type="http://schemas.openxmlformats.org/officeDocument/2006/relationships/hyperlink" Target="https://www.iposcoop.com/specific-industry/?industry=Consumer_Goods&amp;justPriced=1" TargetMode="External"/><Relationship Id="rId568" Type="http://schemas.openxmlformats.org/officeDocument/2006/relationships/hyperlink" Target="https://www.iposcoop.com/ipo/anpac-bio-medical-science/" TargetMode="External"/><Relationship Id="rId165" Type="http://schemas.openxmlformats.org/officeDocument/2006/relationships/hyperlink" Target="https://www.iposcoop.com/specific-industry/?industry=Health_Care&amp;justPriced=1" TargetMode="External"/><Relationship Id="rId372" Type="http://schemas.openxmlformats.org/officeDocument/2006/relationships/hyperlink" Target="https://www.iposcoop.com/specific-industry/?industry=Health_Care&amp;justPriced=1" TargetMode="External"/><Relationship Id="rId428" Type="http://schemas.openxmlformats.org/officeDocument/2006/relationships/hyperlink" Target="http://finance.yahoo.com/q?s=GTH" TargetMode="External"/><Relationship Id="rId232" Type="http://schemas.openxmlformats.org/officeDocument/2006/relationships/hyperlink" Target="https://www.iposcoop.com/ipo/athira-pharma/" TargetMode="External"/><Relationship Id="rId274" Type="http://schemas.openxmlformats.org/officeDocument/2006/relationships/hyperlink" Target="https://www.iposcoop.com/ipo/inhibrx-inc/" TargetMode="External"/><Relationship Id="rId481" Type="http://schemas.openxmlformats.org/officeDocument/2006/relationships/hyperlink" Target="https://www.iposcoop.com/ipo/pliant-therapeutics/" TargetMode="External"/><Relationship Id="rId27" Type="http://schemas.openxmlformats.org/officeDocument/2006/relationships/hyperlink" Target="https://www.iposcoop.com/specific-industry/?industry=Technology&amp;justPriced=1" TargetMode="External"/><Relationship Id="rId69" Type="http://schemas.openxmlformats.org/officeDocument/2006/relationships/hyperlink" Target="https://www.iposcoop.com/specific-industry/?industry=Financials&amp;justPriced=1" TargetMode="External"/><Relationship Id="rId134" Type="http://schemas.openxmlformats.org/officeDocument/2006/relationships/hyperlink" Target="http://finance.yahoo.com/q?s=ARRY" TargetMode="External"/><Relationship Id="rId537" Type="http://schemas.openxmlformats.org/officeDocument/2006/relationships/hyperlink" Target="https://www.iposcoop.com/specific-industry/?industry=Health_Care&amp;justPriced=1" TargetMode="External"/><Relationship Id="rId579" Type="http://schemas.openxmlformats.org/officeDocument/2006/relationships/hyperlink" Target="https://www.iposcoop.com/specific-industry/?industry=Health_Care&amp;justPriced=1" TargetMode="External"/><Relationship Id="rId80" Type="http://schemas.openxmlformats.org/officeDocument/2006/relationships/hyperlink" Target="http://finance.yahoo.com/q?s=LESL" TargetMode="External"/><Relationship Id="rId176" Type="http://schemas.openxmlformats.org/officeDocument/2006/relationships/hyperlink" Target="http://finance.yahoo.com/q?s=AVO" TargetMode="External"/><Relationship Id="rId341" Type="http://schemas.openxmlformats.org/officeDocument/2006/relationships/hyperlink" Target="http://finance.yahoo.com/q?s=ANNX" TargetMode="External"/><Relationship Id="rId383" Type="http://schemas.openxmlformats.org/officeDocument/2006/relationships/hyperlink" Target="http://finance.yahoo.com/q?s=NKTX" TargetMode="External"/><Relationship Id="rId439" Type="http://schemas.openxmlformats.org/officeDocument/2006/relationships/hyperlink" Target="https://www.iposcoop.com/ipo/avidity-biosciences/" TargetMode="External"/><Relationship Id="rId590" Type="http://schemas.openxmlformats.org/officeDocument/2006/relationships/hyperlink" Target="http://finance.yahoo.com/q?s=MKD" TargetMode="External"/><Relationship Id="rId201" Type="http://schemas.openxmlformats.org/officeDocument/2006/relationships/hyperlink" Target="https://www.iposcoop.com/specific-industry/?industry=Technology&amp;justPriced=1" TargetMode="External"/><Relationship Id="rId243" Type="http://schemas.openxmlformats.org/officeDocument/2006/relationships/hyperlink" Target="https://www.iposcoop.com/specific-industry/?industry=Consumer_Services&amp;justPriced=1" TargetMode="External"/><Relationship Id="rId285" Type="http://schemas.openxmlformats.org/officeDocument/2006/relationships/hyperlink" Target="https://www.iposcoop.com/specific-industry/?industry=Financials&amp;justPriced=1" TargetMode="External"/><Relationship Id="rId450" Type="http://schemas.openxmlformats.org/officeDocument/2006/relationships/hyperlink" Target="https://www.iposcoop.com/specific-industry/?industry=Health_Care&amp;justPriced=1" TargetMode="External"/><Relationship Id="rId506" Type="http://schemas.openxmlformats.org/officeDocument/2006/relationships/hyperlink" Target="http://finance.yahoo.com/q?s=LYRA" TargetMode="External"/><Relationship Id="rId38" Type="http://schemas.openxmlformats.org/officeDocument/2006/relationships/hyperlink" Target="http://finance.yahoo.com/q?s=KNTE" TargetMode="External"/><Relationship Id="rId103" Type="http://schemas.openxmlformats.org/officeDocument/2006/relationships/hyperlink" Target="https://www.iposcoop.com/ipo/guild-holdings-company/" TargetMode="External"/><Relationship Id="rId310" Type="http://schemas.openxmlformats.org/officeDocument/2006/relationships/hyperlink" Target="https://www.iposcoop.com/ipo/bigcommerce-holdings/" TargetMode="External"/><Relationship Id="rId492" Type="http://schemas.openxmlformats.org/officeDocument/2006/relationships/hyperlink" Target="https://www.iposcoop.com/specific-industry/?industry=Financials&amp;justPriced=1" TargetMode="External"/><Relationship Id="rId548" Type="http://schemas.openxmlformats.org/officeDocument/2006/relationships/hyperlink" Target="http://finance.yahoo.com/q?s=BEAM" TargetMode="External"/><Relationship Id="rId91" Type="http://schemas.openxmlformats.org/officeDocument/2006/relationships/hyperlink" Target="https://www.iposcoop.com/ipo/root-inc/" TargetMode="External"/><Relationship Id="rId145" Type="http://schemas.openxmlformats.org/officeDocument/2006/relationships/hyperlink" Target="https://www.iposcoop.com/ipo/kronos-bio-inc/" TargetMode="External"/><Relationship Id="rId187" Type="http://schemas.openxmlformats.org/officeDocument/2006/relationships/hyperlink" Target="https://www.iposcoop.com/ipo/chindata-group-holdings-limited/" TargetMode="External"/><Relationship Id="rId352" Type="http://schemas.openxmlformats.org/officeDocument/2006/relationships/hyperlink" Target="https://www.iposcoop.com/ipo/montrose-environmental-group/" TargetMode="External"/><Relationship Id="rId394" Type="http://schemas.openxmlformats.org/officeDocument/2006/relationships/hyperlink" Target="https://www.iposcoop.com/ipo/therapeutics-acquisition/" TargetMode="External"/><Relationship Id="rId408" Type="http://schemas.openxmlformats.org/officeDocument/2006/relationships/hyperlink" Target="https://www.iposcoop.com/specific-industry/?industry=Technology&amp;justPriced=1" TargetMode="External"/><Relationship Id="rId212" Type="http://schemas.openxmlformats.org/officeDocument/2006/relationships/hyperlink" Target="http://finance.yahoo.com/q?s=PRLD" TargetMode="External"/><Relationship Id="rId254" Type="http://schemas.openxmlformats.org/officeDocument/2006/relationships/hyperlink" Target="http://finance.yahoo.com/q?s=SUMO" TargetMode="External"/><Relationship Id="rId49" Type="http://schemas.openxmlformats.org/officeDocument/2006/relationships/hyperlink" Target="https://www.iposcoop.com/ipo/maravai-lifesciences-holdings-inc/" TargetMode="External"/><Relationship Id="rId114" Type="http://schemas.openxmlformats.org/officeDocument/2006/relationships/hyperlink" Target="https://www.iposcoop.com/specific-industry/?industry=Consumer_Services&amp;justPriced=1" TargetMode="External"/><Relationship Id="rId296" Type="http://schemas.openxmlformats.org/officeDocument/2006/relationships/hyperlink" Target="http://finance.yahoo.com/q?s=FRLN" TargetMode="External"/><Relationship Id="rId461" Type="http://schemas.openxmlformats.org/officeDocument/2006/relationships/hyperlink" Target="http://finance.yahoo.com/q?s=HECCU" TargetMode="External"/><Relationship Id="rId517" Type="http://schemas.openxmlformats.org/officeDocument/2006/relationships/hyperlink" Target="https://www.iposcoop.com/ipo/wimi-hologram-cloud/" TargetMode="External"/><Relationship Id="rId559" Type="http://schemas.openxmlformats.org/officeDocument/2006/relationships/hyperlink" Target="https://www.iposcoop.com/ipo/1life-healthcare/" TargetMode="External"/><Relationship Id="rId60" Type="http://schemas.openxmlformats.org/officeDocument/2006/relationships/hyperlink" Target="https://www.iposcoop.com/specific-industry/?industry=Health_Care&amp;justPriced=1" TargetMode="External"/><Relationship Id="rId156" Type="http://schemas.openxmlformats.org/officeDocument/2006/relationships/hyperlink" Target="https://www.iposcoop.com/specific-industry/?industry=Consumer_Services&amp;justPriced=1" TargetMode="External"/><Relationship Id="rId198" Type="http://schemas.openxmlformats.org/officeDocument/2006/relationships/hyperlink" Target="https://www.iposcoop.com/specific-industry/?industry=Health_Care&amp;justPriced=1" TargetMode="External"/><Relationship Id="rId321" Type="http://schemas.openxmlformats.org/officeDocument/2006/relationships/hyperlink" Target="https://www.iposcoop.com/specific-industry/?industry=Consumer_Goods&amp;justPriced=1" TargetMode="External"/><Relationship Id="rId363" Type="http://schemas.openxmlformats.org/officeDocument/2006/relationships/hyperlink" Target="https://www.iposcoop.com/specific-industry/?industry=Health_Care&amp;justPriced=1" TargetMode="External"/><Relationship Id="rId419" Type="http://schemas.openxmlformats.org/officeDocument/2006/relationships/hyperlink" Target="http://finance.yahoo.com/q?s=FUSN" TargetMode="External"/><Relationship Id="rId570" Type="http://schemas.openxmlformats.org/officeDocument/2006/relationships/hyperlink" Target="https://www.iposcoop.com/specific-industry/?industry=Health_Care&amp;justPriced=1" TargetMode="External"/><Relationship Id="rId223" Type="http://schemas.openxmlformats.org/officeDocument/2006/relationships/hyperlink" Target="https://www.iposcoop.com/ipo/corsair-gaming/" TargetMode="External"/><Relationship Id="rId430" Type="http://schemas.openxmlformats.org/officeDocument/2006/relationships/hyperlink" Target="https://www.iposcoop.com/ipo/progenity/" TargetMode="External"/><Relationship Id="rId18" Type="http://schemas.openxmlformats.org/officeDocument/2006/relationships/hyperlink" Target="https://www.iposcoop.com/specific-industry/?industry=Consumer_Goods&amp;justPriced=1" TargetMode="External"/><Relationship Id="rId265" Type="http://schemas.openxmlformats.org/officeDocument/2006/relationships/hyperlink" Target="https://www.iposcoop.com/ipo/kymera-therapeutics/" TargetMode="External"/><Relationship Id="rId472" Type="http://schemas.openxmlformats.org/officeDocument/2006/relationships/hyperlink" Target="https://www.iposcoop.com/ipo/legend-biotech/" TargetMode="External"/><Relationship Id="rId528" Type="http://schemas.openxmlformats.org/officeDocument/2006/relationships/hyperlink" Target="https://www.iposcoop.com/specific-industry/?industry=Health_Care&amp;justPriced=1" TargetMode="External"/><Relationship Id="rId125" Type="http://schemas.openxmlformats.org/officeDocument/2006/relationships/hyperlink" Target="http://finance.yahoo.com/q?s=KRBP" TargetMode="External"/><Relationship Id="rId167" Type="http://schemas.openxmlformats.org/officeDocument/2006/relationships/hyperlink" Target="http://finance.yahoo.com/q?s=IMNM" TargetMode="External"/><Relationship Id="rId332" Type="http://schemas.openxmlformats.org/officeDocument/2006/relationships/hyperlink" Target="http://finance.yahoo.com/q?s=ALVR" TargetMode="External"/><Relationship Id="rId374" Type="http://schemas.openxmlformats.org/officeDocument/2006/relationships/hyperlink" Target="http://finance.yahoo.com/q?s=TIG" TargetMode="External"/><Relationship Id="rId581" Type="http://schemas.openxmlformats.org/officeDocument/2006/relationships/hyperlink" Target="http://finance.yahoo.com/q?s=LIZI" TargetMode="External"/><Relationship Id="rId71" Type="http://schemas.openxmlformats.org/officeDocument/2006/relationships/hyperlink" Target="http://finance.yahoo.com/q?s=SQZ" TargetMode="External"/><Relationship Id="rId234" Type="http://schemas.openxmlformats.org/officeDocument/2006/relationships/hyperlink" Target="https://www.iposcoop.com/specific-industry/?industry=Health_Care&amp;justPriced=1" TargetMode="External"/><Relationship Id="rId2" Type="http://schemas.openxmlformats.org/officeDocument/2006/relationships/hyperlink" Target="http://finance.yahoo.com/q?s=FDMT" TargetMode="External"/><Relationship Id="rId29" Type="http://schemas.openxmlformats.org/officeDocument/2006/relationships/hyperlink" Target="http://finance.yahoo.com/q?s=YQ" TargetMode="External"/><Relationship Id="rId276" Type="http://schemas.openxmlformats.org/officeDocument/2006/relationships/hyperlink" Target="https://www.iposcoop.com/specific-industry/?industry=Health_Care&amp;justPriced=1" TargetMode="External"/><Relationship Id="rId441" Type="http://schemas.openxmlformats.org/officeDocument/2006/relationships/hyperlink" Target="https://www.iposcoop.com/specific-industry/?industry=Health_Care&amp;justPriced=1" TargetMode="External"/><Relationship Id="rId483" Type="http://schemas.openxmlformats.org/officeDocument/2006/relationships/hyperlink" Target="https://www.iposcoop.com/specific-industry/?industry=Health_Care&amp;justPriced=1" TargetMode="External"/><Relationship Id="rId539" Type="http://schemas.openxmlformats.org/officeDocument/2006/relationships/hyperlink" Target="http://finance.yahoo.com/q?s=HUIZ" TargetMode="External"/><Relationship Id="rId40" Type="http://schemas.openxmlformats.org/officeDocument/2006/relationships/hyperlink" Target="https://www.iposcoop.com/ipo/hf-enterprises/" TargetMode="External"/><Relationship Id="rId136" Type="http://schemas.openxmlformats.org/officeDocument/2006/relationships/hyperlink" Target="https://www.iposcoop.com/ipo/miniso-group-holding-limited/" TargetMode="External"/><Relationship Id="rId178" Type="http://schemas.openxmlformats.org/officeDocument/2006/relationships/hyperlink" Target="https://www.iposcoop.com/ipo/pulmonx-corp/" TargetMode="External"/><Relationship Id="rId301" Type="http://schemas.openxmlformats.org/officeDocument/2006/relationships/hyperlink" Target="https://www.iposcoop.com/ipo/acutus-medical/" TargetMode="External"/><Relationship Id="rId343" Type="http://schemas.openxmlformats.org/officeDocument/2006/relationships/hyperlink" Target="https://www.iposcoop.com/ipo/inozyme-pharma/" TargetMode="External"/><Relationship Id="rId550" Type="http://schemas.openxmlformats.org/officeDocument/2006/relationships/hyperlink" Target="https://www.iposcoop.com/ipo/casper-sleep/" TargetMode="External"/><Relationship Id="rId82" Type="http://schemas.openxmlformats.org/officeDocument/2006/relationships/hyperlink" Target="https://www.iposcoop.com/ipo/biodesix-inc/" TargetMode="External"/><Relationship Id="rId203" Type="http://schemas.openxmlformats.org/officeDocument/2006/relationships/hyperlink" Target="http://finance.yahoo.com/q?s=GRAY" TargetMode="External"/><Relationship Id="rId385" Type="http://schemas.openxmlformats.org/officeDocument/2006/relationships/hyperlink" Target="https://www.iposcoop.com/ipo/poseida-therapeutics/" TargetMode="External"/><Relationship Id="rId592" Type="http://schemas.openxmlformats.org/officeDocument/2006/relationships/hyperlink" Target="https://www.iposcoop.com/ipo/indonesia-energy-corp-ltd/" TargetMode="External"/><Relationship Id="rId245" Type="http://schemas.openxmlformats.org/officeDocument/2006/relationships/hyperlink" Target="http://finance.yahoo.com/q?s=AMWL" TargetMode="External"/><Relationship Id="rId287" Type="http://schemas.openxmlformats.org/officeDocument/2006/relationships/hyperlink" Target="http://finance.yahoo.com/q?s=FSDC" TargetMode="External"/><Relationship Id="rId410" Type="http://schemas.openxmlformats.org/officeDocument/2006/relationships/hyperlink" Target="http://finance.yahoo.com/q?s=AKUS" TargetMode="External"/><Relationship Id="rId452" Type="http://schemas.openxmlformats.org/officeDocument/2006/relationships/hyperlink" Target="http://finance.yahoo.com/q?s=PCVX" TargetMode="External"/><Relationship Id="rId494" Type="http://schemas.openxmlformats.org/officeDocument/2006/relationships/hyperlink" Target="http://finance.yahoo.com/q?s=ADCT" TargetMode="External"/><Relationship Id="rId508" Type="http://schemas.openxmlformats.org/officeDocument/2006/relationships/hyperlink" Target="https://www.iposcoop.com/ipo/oric-pharmaceuticals/" TargetMode="External"/><Relationship Id="rId105" Type="http://schemas.openxmlformats.org/officeDocument/2006/relationships/hyperlink" Target="https://www.iposcoop.com/specific-industry/?industry=Financials&amp;justPriced=1" TargetMode="External"/><Relationship Id="rId147" Type="http://schemas.openxmlformats.org/officeDocument/2006/relationships/hyperlink" Target="https://www.iposcoop.com/specific-industry/?industry=Health_Care&amp;justPriced=1" TargetMode="External"/><Relationship Id="rId312" Type="http://schemas.openxmlformats.org/officeDocument/2006/relationships/hyperlink" Target="https://www.iposcoop.com/specific-industry/?industry=Technology&amp;justPriced=1" TargetMode="External"/><Relationship Id="rId354" Type="http://schemas.openxmlformats.org/officeDocument/2006/relationships/hyperlink" Target="https://www.iposcoop.com/specific-industry/?industry=Consumer_Services&amp;justPriced=1" TargetMode="External"/><Relationship Id="rId51" Type="http://schemas.openxmlformats.org/officeDocument/2006/relationships/hyperlink" Target="https://www.iposcoop.com/specific-industry/?industry=Health_Care&amp;justPriced=1" TargetMode="External"/><Relationship Id="rId93" Type="http://schemas.openxmlformats.org/officeDocument/2006/relationships/hyperlink" Target="https://www.iposcoop.com/specific-industry/?industry=Financials&amp;justPriced=1" TargetMode="External"/><Relationship Id="rId189" Type="http://schemas.openxmlformats.org/officeDocument/2006/relationships/hyperlink" Target="https://www.iposcoop.com/specific-industry/?industry=Technology&amp;justPriced=1" TargetMode="External"/><Relationship Id="rId396" Type="http://schemas.openxmlformats.org/officeDocument/2006/relationships/hyperlink" Target="https://www.iposcoop.com/specific-industry/?industry=Blank_Check&amp;justPriced=1" TargetMode="External"/><Relationship Id="rId561" Type="http://schemas.openxmlformats.org/officeDocument/2006/relationships/hyperlink" Target="https://www.iposcoop.com/specific-industry/?industry=Consumer_Services&amp;justPriced=1" TargetMode="External"/><Relationship Id="rId214" Type="http://schemas.openxmlformats.org/officeDocument/2006/relationships/hyperlink" Target="https://www.iposcoop.com/ipo/via-optronics-ag/" TargetMode="External"/><Relationship Id="rId256" Type="http://schemas.openxmlformats.org/officeDocument/2006/relationships/hyperlink" Target="https://www.iposcoop.com/ipo/applied-uv-inc/" TargetMode="External"/><Relationship Id="rId298" Type="http://schemas.openxmlformats.org/officeDocument/2006/relationships/hyperlink" Target="https://www.iposcoop.com/ipo/ibex-ltd/" TargetMode="External"/><Relationship Id="rId421" Type="http://schemas.openxmlformats.org/officeDocument/2006/relationships/hyperlink" Target="https://www.iposcoop.com/ipo/polypid/" TargetMode="External"/><Relationship Id="rId463" Type="http://schemas.openxmlformats.org/officeDocument/2006/relationships/hyperlink" Target="https://www.iposcoop.com/ipo/vroom/" TargetMode="External"/><Relationship Id="rId519" Type="http://schemas.openxmlformats.org/officeDocument/2006/relationships/hyperlink" Target="https://www.iposcoop.com/specific-industry/?industry=Technology&amp;justPriced=1" TargetMode="External"/><Relationship Id="rId116" Type="http://schemas.openxmlformats.org/officeDocument/2006/relationships/hyperlink" Target="http://finance.yahoo.com/q?s=HLXA" TargetMode="External"/><Relationship Id="rId158" Type="http://schemas.openxmlformats.org/officeDocument/2006/relationships/hyperlink" Target="http://finance.yahoo.com/q?s=SQFT" TargetMode="External"/><Relationship Id="rId323" Type="http://schemas.openxmlformats.org/officeDocument/2006/relationships/hyperlink" Target="http://finance.yahoo.com/q?s=FTHM" TargetMode="External"/><Relationship Id="rId530" Type="http://schemas.openxmlformats.org/officeDocument/2006/relationships/hyperlink" Target="http://finance.yahoo.com/q?s=ZCMD" TargetMode="External"/><Relationship Id="rId20" Type="http://schemas.openxmlformats.org/officeDocument/2006/relationships/hyperlink" Target="http://finance.yahoo.com/q?s=AI" TargetMode="External"/><Relationship Id="rId62" Type="http://schemas.openxmlformats.org/officeDocument/2006/relationships/hyperlink" Target="http://finance.yahoo.com/q?s=YSG" TargetMode="External"/><Relationship Id="rId365" Type="http://schemas.openxmlformats.org/officeDocument/2006/relationships/hyperlink" Target="http://finance.yahoo.com/q?s=BLI" TargetMode="External"/><Relationship Id="rId572" Type="http://schemas.openxmlformats.org/officeDocument/2006/relationships/hyperlink" Target="http://finance.yahoo.com/q?s=BDTX" TargetMode="External"/><Relationship Id="rId225" Type="http://schemas.openxmlformats.org/officeDocument/2006/relationships/hyperlink" Target="https://www.iposcoop.com/specific-industry/?industry=Technology&amp;justPriced=1" TargetMode="External"/><Relationship Id="rId267" Type="http://schemas.openxmlformats.org/officeDocument/2006/relationships/hyperlink" Target="https://www.iposcoop.com/specific-industry/?industry=Health_Care&amp;justPriced=1" TargetMode="External"/><Relationship Id="rId432" Type="http://schemas.openxmlformats.org/officeDocument/2006/relationships/hyperlink" Target="https://www.iposcoop.com/specific-industry/?industry=Health_Care&amp;justPriced=1" TargetMode="External"/><Relationship Id="rId474" Type="http://schemas.openxmlformats.org/officeDocument/2006/relationships/hyperlink" Target="https://www.iposcoop.com/specific-industry/?industry=Health_Care&amp;justPriced=1" TargetMode="External"/><Relationship Id="rId127" Type="http://schemas.openxmlformats.org/officeDocument/2006/relationships/hyperlink" Target="https://www.iposcoop.com/ipo/praxis-precision-medicines-inc/" TargetMode="External"/><Relationship Id="rId31" Type="http://schemas.openxmlformats.org/officeDocument/2006/relationships/hyperlink" Target="https://www.iposcoop.com/ipo/seer-inc/" TargetMode="External"/><Relationship Id="rId73" Type="http://schemas.openxmlformats.org/officeDocument/2006/relationships/hyperlink" Target="https://www.iposcoop.com/ipo/allegro-microsystems-inc-2/" TargetMode="External"/><Relationship Id="rId169" Type="http://schemas.openxmlformats.org/officeDocument/2006/relationships/hyperlink" Target="https://www.iposcoop.com/ipo/oncorus-inc/" TargetMode="External"/><Relationship Id="rId334" Type="http://schemas.openxmlformats.org/officeDocument/2006/relationships/hyperlink" Target="https://www.iposcoop.com/ipo/li-auto/" TargetMode="External"/><Relationship Id="rId376" Type="http://schemas.openxmlformats.org/officeDocument/2006/relationships/hyperlink" Target="https://www.iposcoop.com/ipo/gohealth/" TargetMode="External"/><Relationship Id="rId541" Type="http://schemas.openxmlformats.org/officeDocument/2006/relationships/hyperlink" Target="https://www.iposcoop.com/ipo/nexpoint-real-estate-finance/" TargetMode="External"/><Relationship Id="rId583" Type="http://schemas.openxmlformats.org/officeDocument/2006/relationships/hyperlink" Target="https://www.iposcoop.com/ipo/phoenix-tree-holdings-ltd/" TargetMode="External"/><Relationship Id="rId4" Type="http://schemas.openxmlformats.org/officeDocument/2006/relationships/hyperlink" Target="https://www.iposcoop.com/ipo/abcellera-biologics/" TargetMode="External"/><Relationship Id="rId180" Type="http://schemas.openxmlformats.org/officeDocument/2006/relationships/hyperlink" Target="https://www.iposcoop.com/specific-industry/?industry=Health_Care&amp;justPriced=1" TargetMode="External"/><Relationship Id="rId236" Type="http://schemas.openxmlformats.org/officeDocument/2006/relationships/hyperlink" Target="http://finance.yahoo.com/q?s=CMPS" TargetMode="External"/><Relationship Id="rId278" Type="http://schemas.openxmlformats.org/officeDocument/2006/relationships/hyperlink" Target="http://finance.yahoo.com/q?s=CVAC" TargetMode="External"/><Relationship Id="rId401" Type="http://schemas.openxmlformats.org/officeDocument/2006/relationships/hyperlink" Target="http://finance.yahoo.com/q?s=LMND" TargetMode="External"/><Relationship Id="rId443" Type="http://schemas.openxmlformats.org/officeDocument/2006/relationships/hyperlink" Target="http://finance.yahoo.com/q?s=AZEK" TargetMode="External"/><Relationship Id="rId303" Type="http://schemas.openxmlformats.org/officeDocument/2006/relationships/hyperlink" Target="https://www.iposcoop.com/specific-industry/?industry=Health_Care&amp;justPriced=1" TargetMode="External"/><Relationship Id="rId485" Type="http://schemas.openxmlformats.org/officeDocument/2006/relationships/hyperlink" Target="http://finance.yahoo.com/q?s=WMG" TargetMode="External"/><Relationship Id="rId42" Type="http://schemas.openxmlformats.org/officeDocument/2006/relationships/hyperlink" Target="https://www.iposcoop.com/specific-industry/?industry=Financials&amp;justPriced=1" TargetMode="External"/><Relationship Id="rId84" Type="http://schemas.openxmlformats.org/officeDocument/2006/relationships/hyperlink" Target="https://www.iposcoop.com/specific-industry/?industry=Health_Care&amp;justPriced=1" TargetMode="External"/><Relationship Id="rId138" Type="http://schemas.openxmlformats.org/officeDocument/2006/relationships/hyperlink" Target="https://www.iposcoop.com/specific-industry/?industry=Consumer_Goods&amp;justPriced=1" TargetMode="External"/><Relationship Id="rId345" Type="http://schemas.openxmlformats.org/officeDocument/2006/relationships/hyperlink" Target="https://www.iposcoop.com/specific-industry/?industry=Health_Care&amp;justPriced=1" TargetMode="External"/><Relationship Id="rId387" Type="http://schemas.openxmlformats.org/officeDocument/2006/relationships/hyperlink" Target="https://www.iposcoop.com/specific-industry/?industry=Health_Care&amp;justPriced=1" TargetMode="External"/><Relationship Id="rId510" Type="http://schemas.openxmlformats.org/officeDocument/2006/relationships/hyperlink" Target="https://www.iposcoop.com/specific-industry/?industry=Health_Care&amp;justPriced=1" TargetMode="External"/><Relationship Id="rId552" Type="http://schemas.openxmlformats.org/officeDocument/2006/relationships/hyperlink" Target="https://www.iposcoop.com/specific-industry/?industry=Consumer_Goods&amp;justPriced=1" TargetMode="External"/><Relationship Id="rId594" Type="http://schemas.openxmlformats.org/officeDocument/2006/relationships/hyperlink" Target="https://www.iposcoop.com/specific-industry/?industry=Health_Care&amp;justPriced=1" TargetMode="External"/><Relationship Id="rId191" Type="http://schemas.openxmlformats.org/officeDocument/2006/relationships/hyperlink" Target="http://finance.yahoo.com/q?s=PLTR" TargetMode="External"/><Relationship Id="rId205" Type="http://schemas.openxmlformats.org/officeDocument/2006/relationships/hyperlink" Target="https://www.iposcoop.com/ipo/greenwich-lifesciences/" TargetMode="External"/><Relationship Id="rId247" Type="http://schemas.openxmlformats.org/officeDocument/2006/relationships/hyperlink" Target="https://www.iposcoop.com/ipo/broadstone-net-lease-2/" TargetMode="External"/><Relationship Id="rId412" Type="http://schemas.openxmlformats.org/officeDocument/2006/relationships/hyperlink" Target="https://www.iposcoop.com/ipo/albertsons-companies/" TargetMode="External"/><Relationship Id="rId107" Type="http://schemas.openxmlformats.org/officeDocument/2006/relationships/hyperlink" Target="http://finance.yahoo.com/q?s=MCFE" TargetMode="External"/><Relationship Id="rId289" Type="http://schemas.openxmlformats.org/officeDocument/2006/relationships/hyperlink" Target="https://www.iposcoop.com/ipo/arya-sciences-acquisition-corp-iii/" TargetMode="External"/><Relationship Id="rId454" Type="http://schemas.openxmlformats.org/officeDocument/2006/relationships/hyperlink" Target="https://www.iposcoop.com/ipo/lantern-pharma/" TargetMode="External"/><Relationship Id="rId496" Type="http://schemas.openxmlformats.org/officeDocument/2006/relationships/hyperlink" Target="https://www.iposcoop.com/ipo/ayala-pharmaceuticals/" TargetMode="External"/><Relationship Id="rId11" Type="http://schemas.openxmlformats.org/officeDocument/2006/relationships/hyperlink" Target="http://finance.yahoo.com/q?s=VVOS" TargetMode="External"/><Relationship Id="rId53" Type="http://schemas.openxmlformats.org/officeDocument/2006/relationships/hyperlink" Target="http://finance.yahoo.com/q?s=SHC" TargetMode="External"/><Relationship Id="rId149" Type="http://schemas.openxmlformats.org/officeDocument/2006/relationships/hyperlink" Target="http://finance.yahoo.com/q?s=SPRB" TargetMode="External"/><Relationship Id="rId314" Type="http://schemas.openxmlformats.org/officeDocument/2006/relationships/hyperlink" Target="http://finance.yahoo.com/q?s=RXT" TargetMode="External"/><Relationship Id="rId356" Type="http://schemas.openxmlformats.org/officeDocument/2006/relationships/hyperlink" Target="http://finance.yahoo.com/q?s=EDTK" TargetMode="External"/><Relationship Id="rId398" Type="http://schemas.openxmlformats.org/officeDocument/2006/relationships/hyperlink" Target="http://finance.yahoo.com/q?s=ACCD" TargetMode="External"/><Relationship Id="rId521" Type="http://schemas.openxmlformats.org/officeDocument/2006/relationships/hyperlink" Target="http://finance.yahoo.com/q?s=IMRA" TargetMode="External"/><Relationship Id="rId563" Type="http://schemas.openxmlformats.org/officeDocument/2006/relationships/hyperlink" Target="http://finance.yahoo.com/q?s=ARQT" TargetMode="External"/><Relationship Id="rId95" Type="http://schemas.openxmlformats.org/officeDocument/2006/relationships/hyperlink" Target="http://finance.yahoo.com/q?s=FHTX" TargetMode="External"/><Relationship Id="rId160" Type="http://schemas.openxmlformats.org/officeDocument/2006/relationships/hyperlink" Target="https://www.iposcoop.com/ipo/academy-sports-outdoors/" TargetMode="External"/><Relationship Id="rId216" Type="http://schemas.openxmlformats.org/officeDocument/2006/relationships/hyperlink" Target="https://www.iposcoop.com/specific-industry/?industry=Technology&amp;justPriced=1" TargetMode="External"/><Relationship Id="rId423" Type="http://schemas.openxmlformats.org/officeDocument/2006/relationships/hyperlink" Target="https://www.iposcoop.com/specific-industry/?industry=Health_Care&amp;justPriced=1" TargetMode="External"/><Relationship Id="rId258" Type="http://schemas.openxmlformats.org/officeDocument/2006/relationships/hyperlink" Target="https://www.iposcoop.com/specific-industry/?industry=Consumer_Goods&amp;justPriced=1" TargetMode="External"/><Relationship Id="rId465" Type="http://schemas.openxmlformats.org/officeDocument/2006/relationships/hyperlink" Target="https://www.iposcoop.com/specific-industry/?industry=Consumer_Services&amp;justPriced=1" TargetMode="External"/><Relationship Id="rId22" Type="http://schemas.openxmlformats.org/officeDocument/2006/relationships/hyperlink" Target="https://www.iposcoop.com/ipo/doordash-inc/" TargetMode="External"/><Relationship Id="rId64" Type="http://schemas.openxmlformats.org/officeDocument/2006/relationships/hyperlink" Target="https://www.iposcoop.com/ipo/atea-pharmaceuticals-inc/" TargetMode="External"/><Relationship Id="rId118" Type="http://schemas.openxmlformats.org/officeDocument/2006/relationships/hyperlink" Target="https://www.iposcoop.com/ipo/aligos-therapeutics-inc/" TargetMode="External"/><Relationship Id="rId325" Type="http://schemas.openxmlformats.org/officeDocument/2006/relationships/hyperlink" Target="https://www.iposcoop.com/ipo/vasta-platform-limited-2/" TargetMode="External"/><Relationship Id="rId367" Type="http://schemas.openxmlformats.org/officeDocument/2006/relationships/hyperlink" Target="https://www.iposcoop.com/ipo/pandion-therapeutics-holdco/" TargetMode="External"/><Relationship Id="rId532" Type="http://schemas.openxmlformats.org/officeDocument/2006/relationships/hyperlink" Target="https://www.iposcoop.com/ipo/muscle-maker/" TargetMode="External"/><Relationship Id="rId574" Type="http://schemas.openxmlformats.org/officeDocument/2006/relationships/hyperlink" Target="https://www.iposcoop.com/ipo/annovis-bio/" TargetMode="External"/><Relationship Id="rId171" Type="http://schemas.openxmlformats.org/officeDocument/2006/relationships/hyperlink" Target="https://www.iposcoop.com/specific-industry/?industry=Health_Care&amp;justPriced=1" TargetMode="External"/><Relationship Id="rId227" Type="http://schemas.openxmlformats.org/officeDocument/2006/relationships/hyperlink" Target="http://finance.yahoo.com/q?s=GDRX" TargetMode="External"/><Relationship Id="rId269" Type="http://schemas.openxmlformats.org/officeDocument/2006/relationships/hyperlink" Target="http://finance.yahoo.com/q?s=NNOX" TargetMode="External"/><Relationship Id="rId434" Type="http://schemas.openxmlformats.org/officeDocument/2006/relationships/hyperlink" Target="http://finance.yahoo.com/q?s=RPTX" TargetMode="External"/><Relationship Id="rId476" Type="http://schemas.openxmlformats.org/officeDocument/2006/relationships/hyperlink" Target="http://finance.yahoo.com/q?s=FOUR" TargetMode="External"/><Relationship Id="rId33" Type="http://schemas.openxmlformats.org/officeDocument/2006/relationships/hyperlink" Target="https://www.iposcoop.com/specific-industry/?industry=Health_Care&amp;justPriced=1" TargetMode="External"/><Relationship Id="rId129" Type="http://schemas.openxmlformats.org/officeDocument/2006/relationships/hyperlink" Target="https://www.iposcoop.com/specific-industry/?industry=Health_Care&amp;justPriced=1" TargetMode="External"/><Relationship Id="rId280" Type="http://schemas.openxmlformats.org/officeDocument/2006/relationships/hyperlink" Target="https://www.iposcoop.com/ipo/duck-creek-technologies/" TargetMode="External"/><Relationship Id="rId336" Type="http://schemas.openxmlformats.org/officeDocument/2006/relationships/hyperlink" Target="https://www.iposcoop.com/specific-industry/?industry=Consumer_Goods&amp;justPriced=1" TargetMode="External"/><Relationship Id="rId501" Type="http://schemas.openxmlformats.org/officeDocument/2006/relationships/hyperlink" Target="https://www.iposcoop.com/specific-industry/?industry=Consumer_Services&amp;justPriced=1" TargetMode="External"/><Relationship Id="rId543" Type="http://schemas.openxmlformats.org/officeDocument/2006/relationships/hyperlink" Target="https://www.iposcoop.com/specific-industry/?industry=Financials&amp;justPriced=1" TargetMode="External"/><Relationship Id="rId75" Type="http://schemas.openxmlformats.org/officeDocument/2006/relationships/hyperlink" Target="https://www.iposcoop.com/specific-industry/?industry=Technology&amp;justPriced=1" TargetMode="External"/><Relationship Id="rId140" Type="http://schemas.openxmlformats.org/officeDocument/2006/relationships/hyperlink" Target="http://finance.yahoo.com/q?s=CDAK" TargetMode="External"/><Relationship Id="rId182" Type="http://schemas.openxmlformats.org/officeDocument/2006/relationships/hyperlink" Target="http://finance.yahoo.com/q?s=THRY" TargetMode="External"/><Relationship Id="rId378" Type="http://schemas.openxmlformats.org/officeDocument/2006/relationships/hyperlink" Target="https://www.iposcoop.com/specific-industry/?industry=Financials&amp;justPriced=1" TargetMode="External"/><Relationship Id="rId403" Type="http://schemas.openxmlformats.org/officeDocument/2006/relationships/hyperlink" Target="https://www.iposcoop.com/ipo/dun-bradstreet-holdings/" TargetMode="External"/><Relationship Id="rId585" Type="http://schemas.openxmlformats.org/officeDocument/2006/relationships/hyperlink" Target="https://www.iposcoop.com/specific-industry/?industry=Consumer_Services&amp;justPriced=1" TargetMode="External"/><Relationship Id="rId6" Type="http://schemas.openxmlformats.org/officeDocument/2006/relationships/hyperlink" Target="https://www.iposcoop.com/specific-industry/?industry=Health_Care&amp;justPriced=1" TargetMode="External"/><Relationship Id="rId238" Type="http://schemas.openxmlformats.org/officeDocument/2006/relationships/hyperlink" Target="https://www.iposcoop.com/ipo/unity-software-inc/" TargetMode="External"/><Relationship Id="rId445" Type="http://schemas.openxmlformats.org/officeDocument/2006/relationships/hyperlink" Target="https://www.iposcoop.com/ipo/burning-rock-biotech-ltd/" TargetMode="External"/><Relationship Id="rId487" Type="http://schemas.openxmlformats.org/officeDocument/2006/relationships/hyperlink" Target="https://www.iposcoop.com/ipo/inari-medical/" TargetMode="External"/><Relationship Id="rId291" Type="http://schemas.openxmlformats.org/officeDocument/2006/relationships/hyperlink" Target="https://www.iposcoop.com/specific-industry/?industry=Blank_Check&amp;justPriced=1" TargetMode="External"/><Relationship Id="rId305" Type="http://schemas.openxmlformats.org/officeDocument/2006/relationships/hyperlink" Target="http://finance.yahoo.com/q?s=OSH" TargetMode="External"/><Relationship Id="rId347" Type="http://schemas.openxmlformats.org/officeDocument/2006/relationships/hyperlink" Target="http://finance.yahoo.com/q?s=ITOS" TargetMode="External"/><Relationship Id="rId512" Type="http://schemas.openxmlformats.org/officeDocument/2006/relationships/hyperlink" Target="http://finance.yahoo.com/q?s=KROS" TargetMode="External"/><Relationship Id="rId44" Type="http://schemas.openxmlformats.org/officeDocument/2006/relationships/hyperlink" Target="http://finance.yahoo.com/q?s=OZON" TargetMode="External"/><Relationship Id="rId86" Type="http://schemas.openxmlformats.org/officeDocument/2006/relationships/hyperlink" Target="http://finance.yahoo.com/q?s=GATO" TargetMode="External"/><Relationship Id="rId151" Type="http://schemas.openxmlformats.org/officeDocument/2006/relationships/hyperlink" Target="https://www.iposcoop.com/ipo/aziyo-biologics-inc/" TargetMode="External"/><Relationship Id="rId389" Type="http://schemas.openxmlformats.org/officeDocument/2006/relationships/hyperlink" Target="http://finance.yahoo.com/q?s=QH" TargetMode="External"/><Relationship Id="rId554" Type="http://schemas.openxmlformats.org/officeDocument/2006/relationships/hyperlink" Target="http://finance.yahoo.com/q?s=PPD" TargetMode="External"/><Relationship Id="rId596" Type="http://schemas.openxmlformats.org/officeDocument/2006/relationships/hyperlink" Target="http://finance.yahoo.com/q?s=MNPR" TargetMode="External"/><Relationship Id="rId193" Type="http://schemas.openxmlformats.org/officeDocument/2006/relationships/hyperlink" Target="https://www.iposcoop.com/ipo/yalla-group-limited/" TargetMode="External"/><Relationship Id="rId207" Type="http://schemas.openxmlformats.org/officeDocument/2006/relationships/hyperlink" Target="https://www.iposcoop.com/specific-industry/?industry=Health_Care&amp;justPriced=1" TargetMode="External"/><Relationship Id="rId249" Type="http://schemas.openxmlformats.org/officeDocument/2006/relationships/hyperlink" Target="https://www.iposcoop.com/specific-industry/?industry=Financials&amp;justPriced=1" TargetMode="External"/><Relationship Id="rId414" Type="http://schemas.openxmlformats.org/officeDocument/2006/relationships/hyperlink" Target="https://www.iposcoop.com/specific-industry/?industry=Consumer_Goods&amp;justPriced=1" TargetMode="External"/><Relationship Id="rId456" Type="http://schemas.openxmlformats.org/officeDocument/2006/relationships/hyperlink" Target="https://www.iposcoop.com/specific-industry/?industry=Health_Care&amp;justPriced=1" TargetMode="External"/><Relationship Id="rId498" Type="http://schemas.openxmlformats.org/officeDocument/2006/relationships/hyperlink" Target="https://www.iposcoop.com/specific-industry/?industry=Health_Care&amp;justPriced=1" TargetMode="External"/><Relationship Id="rId13" Type="http://schemas.openxmlformats.org/officeDocument/2006/relationships/hyperlink" Target="https://www.iposcoop.com/ipo/airbnb-inc/" TargetMode="External"/><Relationship Id="rId109" Type="http://schemas.openxmlformats.org/officeDocument/2006/relationships/hyperlink" Target="https://www.iposcoop.com/ipo/datto-holding-corp/" TargetMode="External"/><Relationship Id="rId260" Type="http://schemas.openxmlformats.org/officeDocument/2006/relationships/hyperlink" Target="http://finance.yahoo.com/q?s=HCDI" TargetMode="External"/><Relationship Id="rId316" Type="http://schemas.openxmlformats.org/officeDocument/2006/relationships/hyperlink" Target="https://www.iposcoop.com/ipo/health-sciences-acquisitions-corp-2/" TargetMode="External"/><Relationship Id="rId523" Type="http://schemas.openxmlformats.org/officeDocument/2006/relationships/hyperlink" Target="https://www.iposcoop.com/ipo/gfl-environmental-holdings/" TargetMode="External"/><Relationship Id="rId55" Type="http://schemas.openxmlformats.org/officeDocument/2006/relationships/hyperlink" Target="https://www.iposcoop.com/ipo/25478/" TargetMode="External"/><Relationship Id="rId97" Type="http://schemas.openxmlformats.org/officeDocument/2006/relationships/hyperlink" Target="https://www.iposcoop.com/ipo/abcam-plc/" TargetMode="External"/><Relationship Id="rId120" Type="http://schemas.openxmlformats.org/officeDocument/2006/relationships/hyperlink" Target="https://www.iposcoop.com/specific-industry/?industry=Health_Care&amp;justPriced=1" TargetMode="External"/><Relationship Id="rId358" Type="http://schemas.openxmlformats.org/officeDocument/2006/relationships/hyperlink" Target="https://www.iposcoop.com/ipo/jamf-holding/" TargetMode="External"/><Relationship Id="rId565" Type="http://schemas.openxmlformats.org/officeDocument/2006/relationships/hyperlink" Target="https://www.iposcoop.com/ipo/reynolds-consumer-products/" TargetMode="External"/><Relationship Id="rId162" Type="http://schemas.openxmlformats.org/officeDocument/2006/relationships/hyperlink" Target="https://www.iposcoop.com/specific-industry/?industry=Consumer_Goods&amp;justPriced=1" TargetMode="External"/><Relationship Id="rId218" Type="http://schemas.openxmlformats.org/officeDocument/2006/relationships/hyperlink" Target="http://finance.yahoo.com/q?s=TSHA" TargetMode="External"/><Relationship Id="rId425" Type="http://schemas.openxmlformats.org/officeDocument/2006/relationships/hyperlink" Target="http://finance.yahoo.com/q?s=FMTX" TargetMode="External"/><Relationship Id="rId467" Type="http://schemas.openxmlformats.org/officeDocument/2006/relationships/hyperlink" Target="http://finance.yahoo.com/q?s=AMTI" TargetMode="External"/><Relationship Id="rId271" Type="http://schemas.openxmlformats.org/officeDocument/2006/relationships/hyperlink" Target="https://www.iposcoop.com/ipo/harmony-biosciences-holdings/" TargetMode="External"/><Relationship Id="rId24" Type="http://schemas.openxmlformats.org/officeDocument/2006/relationships/hyperlink" Target="https://www.iposcoop.com/specific-industry/?industry=Consumer_Services&amp;justPriced=1" TargetMode="External"/><Relationship Id="rId66" Type="http://schemas.openxmlformats.org/officeDocument/2006/relationships/hyperlink" Target="https://www.iposcoop.com/specific-industry/?industry=Health_Care&amp;justPriced=1" TargetMode="External"/><Relationship Id="rId131" Type="http://schemas.openxmlformats.org/officeDocument/2006/relationships/hyperlink" Target="http://finance.yahoo.com/q?s=TARS" TargetMode="External"/><Relationship Id="rId327" Type="http://schemas.openxmlformats.org/officeDocument/2006/relationships/hyperlink" Target="https://www.iposcoop.com/specific-industry/?industry=Consumer_Services&amp;justPriced=1" TargetMode="External"/><Relationship Id="rId369" Type="http://schemas.openxmlformats.org/officeDocument/2006/relationships/hyperlink" Target="https://www.iposcoop.com/specific-industry/?industry=Health_Care&amp;justPriced=1" TargetMode="External"/><Relationship Id="rId534" Type="http://schemas.openxmlformats.org/officeDocument/2006/relationships/hyperlink" Target="https://www.iposcoop.com/specific-industry/?industry=Consumer_Services&amp;justPriced=1" TargetMode="External"/><Relationship Id="rId576" Type="http://schemas.openxmlformats.org/officeDocument/2006/relationships/hyperlink" Target="https://www.iposcoop.com/specific-industry/?industry=Health_Care&amp;justPriced=1" TargetMode="External"/><Relationship Id="rId173" Type="http://schemas.openxmlformats.org/officeDocument/2006/relationships/hyperlink" Target="http://finance.yahoo.com/q?s=LXEH" TargetMode="External"/><Relationship Id="rId229" Type="http://schemas.openxmlformats.org/officeDocument/2006/relationships/hyperlink" Target="https://www.iposcoop.com/ipo/laird-superfood-inc/" TargetMode="External"/><Relationship Id="rId380" Type="http://schemas.openxmlformats.org/officeDocument/2006/relationships/hyperlink" Target="http://finance.yahoo.com/q?s=NCNO" TargetMode="External"/><Relationship Id="rId436" Type="http://schemas.openxmlformats.org/officeDocument/2006/relationships/hyperlink" Target="https://www.iposcoop.com/ipo/royalty-pharma-plc/" TargetMode="External"/><Relationship Id="rId240" Type="http://schemas.openxmlformats.org/officeDocument/2006/relationships/hyperlink" Target="https://www.iposcoop.com/specific-industry/?industry=Technology&amp;justPriced=1" TargetMode="External"/><Relationship Id="rId478" Type="http://schemas.openxmlformats.org/officeDocument/2006/relationships/hyperlink" Target="https://www.iposcoop.com/ipo/zoominfo-technologies/" TargetMode="External"/><Relationship Id="rId35" Type="http://schemas.openxmlformats.org/officeDocument/2006/relationships/hyperlink" Target="http://finance.yahoo.com/q?s=SGTX" TargetMode="External"/><Relationship Id="rId77" Type="http://schemas.openxmlformats.org/officeDocument/2006/relationships/hyperlink" Target="http://finance.yahoo.com/q?s=GLTO" TargetMode="External"/><Relationship Id="rId100" Type="http://schemas.openxmlformats.org/officeDocument/2006/relationships/hyperlink" Target="https://www.iposcoop.com/ipo/bcls-acquisition-corp/" TargetMode="External"/><Relationship Id="rId282" Type="http://schemas.openxmlformats.org/officeDocument/2006/relationships/hyperlink" Target="https://www.iposcoop.com/specific-industry/?industry=Technology&amp;justPriced=1" TargetMode="External"/><Relationship Id="rId338" Type="http://schemas.openxmlformats.org/officeDocument/2006/relationships/hyperlink" Target="http://finance.yahoo.com/q?s=VERX" TargetMode="External"/><Relationship Id="rId503" Type="http://schemas.openxmlformats.org/officeDocument/2006/relationships/hyperlink" Target="http://finance.yahoo.com/q?s=KC" TargetMode="External"/><Relationship Id="rId545" Type="http://schemas.openxmlformats.org/officeDocument/2006/relationships/hyperlink" Target="http://finance.yahoo.com/q?s=ONEW" TargetMode="External"/><Relationship Id="rId587" Type="http://schemas.openxmlformats.org/officeDocument/2006/relationships/hyperlink" Target="http://finance.yahoo.com/q?s=VEL" TargetMode="External"/><Relationship Id="rId8" Type="http://schemas.openxmlformats.org/officeDocument/2006/relationships/hyperlink" Target="http://finance.yahoo.com/q?s=CERT" TargetMode="External"/><Relationship Id="rId142" Type="http://schemas.openxmlformats.org/officeDocument/2006/relationships/hyperlink" Target="https://www.iposcoop.com/ipo/ihuman-inc/" TargetMode="External"/><Relationship Id="rId184" Type="http://schemas.openxmlformats.org/officeDocument/2006/relationships/hyperlink" Target="https://www.iposcoop.com/ipo/boqii-holding-limited/" TargetMode="External"/><Relationship Id="rId391" Type="http://schemas.openxmlformats.org/officeDocument/2006/relationships/hyperlink" Target="https://www.iposcoop.com/ipo/bluecity-holdings/" TargetMode="External"/><Relationship Id="rId405" Type="http://schemas.openxmlformats.org/officeDocument/2006/relationships/hyperlink" Target="https://www.iposcoop.com/specific-industry/?industry=Consumer_Services&amp;justPriced=1" TargetMode="External"/><Relationship Id="rId447" Type="http://schemas.openxmlformats.org/officeDocument/2006/relationships/hyperlink" Target="https://www.iposcoop.com/specific-industry/?industry=Health_Care&amp;justPriced=1" TargetMode="External"/><Relationship Id="rId251" Type="http://schemas.openxmlformats.org/officeDocument/2006/relationships/hyperlink" Target="http://finance.yahoo.com/q?s=PTVE" TargetMode="External"/><Relationship Id="rId489" Type="http://schemas.openxmlformats.org/officeDocument/2006/relationships/hyperlink" Target="https://www.iposcoop.com/specific-industry/?industry=Health_Care&amp;justPriced=1" TargetMode="External"/><Relationship Id="rId46" Type="http://schemas.openxmlformats.org/officeDocument/2006/relationships/hyperlink" Target="https://www.iposcoop.com/ipo/vision-marine-technologies-inc/" TargetMode="External"/><Relationship Id="rId293" Type="http://schemas.openxmlformats.org/officeDocument/2006/relationships/hyperlink" Target="http://finance.yahoo.com/q?s=CMPI" TargetMode="External"/><Relationship Id="rId307" Type="http://schemas.openxmlformats.org/officeDocument/2006/relationships/hyperlink" Target="https://www.iposcoop.com/ipo/rocket-companies/" TargetMode="External"/><Relationship Id="rId349" Type="http://schemas.openxmlformats.org/officeDocument/2006/relationships/hyperlink" Target="https://www.iposcoop.com/ipo/nurix-therapeutics/" TargetMode="External"/><Relationship Id="rId514" Type="http://schemas.openxmlformats.org/officeDocument/2006/relationships/hyperlink" Target="https://www.iposcoop.com/ipo/zentalis-pharmaceuticals/" TargetMode="External"/><Relationship Id="rId556" Type="http://schemas.openxmlformats.org/officeDocument/2006/relationships/hyperlink" Target="https://www.iposcoop.com/ipo/schrodinger/" TargetMode="External"/><Relationship Id="rId88" Type="http://schemas.openxmlformats.org/officeDocument/2006/relationships/hyperlink" Target="https://www.iposcoop.com/ipo/mediaalpha-inc/" TargetMode="External"/><Relationship Id="rId111" Type="http://schemas.openxmlformats.org/officeDocument/2006/relationships/hyperlink" Target="https://www.iposcoop.com/specific-industry/?industry=Technology&amp;justPriced=1" TargetMode="External"/><Relationship Id="rId153" Type="http://schemas.openxmlformats.org/officeDocument/2006/relationships/hyperlink" Target="https://www.iposcoop.com/specific-industry/?industry=Health_Care&amp;justPriced=1" TargetMode="External"/><Relationship Id="rId195" Type="http://schemas.openxmlformats.org/officeDocument/2006/relationships/hyperlink" Target="https://www.iposcoop.com/specific-industry/?industry=Technology&amp;justPriced=1" TargetMode="External"/><Relationship Id="rId209" Type="http://schemas.openxmlformats.org/officeDocument/2006/relationships/hyperlink" Target="http://finance.yahoo.com/q?s=PMVP" TargetMode="External"/><Relationship Id="rId360" Type="http://schemas.openxmlformats.org/officeDocument/2006/relationships/hyperlink" Target="https://www.iposcoop.com/specific-industry/?industry=Technology&amp;justPriced=1" TargetMode="External"/><Relationship Id="rId416" Type="http://schemas.openxmlformats.org/officeDocument/2006/relationships/hyperlink" Target="http://finance.yahoo.com/q?s=EBON" TargetMode="External"/><Relationship Id="rId598" Type="http://schemas.openxmlformats.org/officeDocument/2006/relationships/printerSettings" Target="../printerSettings/printerSettings1.bin"/><Relationship Id="rId220" Type="http://schemas.openxmlformats.org/officeDocument/2006/relationships/hyperlink" Target="https://www.iposcoop.com/ipo/bentley-systems/" TargetMode="External"/><Relationship Id="rId458" Type="http://schemas.openxmlformats.org/officeDocument/2006/relationships/hyperlink" Target="http://finance.yahoo.com/q?s=UCL" TargetMode="External"/><Relationship Id="rId15" Type="http://schemas.openxmlformats.org/officeDocument/2006/relationships/hyperlink" Target="https://www.iposcoop.com/specific-industry/?industry=Consumer_Services&amp;justPriced=1" TargetMode="External"/><Relationship Id="rId57" Type="http://schemas.openxmlformats.org/officeDocument/2006/relationships/hyperlink" Target="https://www.iposcoop.com/specific-industry/?industry=Consumer_Services&amp;justPriced=1" TargetMode="External"/><Relationship Id="rId262" Type="http://schemas.openxmlformats.org/officeDocument/2006/relationships/hyperlink" Target="https://www.iposcoop.com/ipo/xpeng/" TargetMode="External"/><Relationship Id="rId318" Type="http://schemas.openxmlformats.org/officeDocument/2006/relationships/hyperlink" Target="https://www.iposcoop.com/specific-industry/?industry=Blank_Check&amp;justPriced=1" TargetMode="External"/><Relationship Id="rId525" Type="http://schemas.openxmlformats.org/officeDocument/2006/relationships/hyperlink" Target="https://www.iposcoop.com/specific-industry/?industry=Consumer_Services&amp;justPriced=1" TargetMode="External"/><Relationship Id="rId567" Type="http://schemas.openxmlformats.org/officeDocument/2006/relationships/hyperlink" Target="https://www.iposcoop.com/specific-industry/?industry=Consumer_Goods&amp;justPriced=1" TargetMode="External"/><Relationship Id="rId99" Type="http://schemas.openxmlformats.org/officeDocument/2006/relationships/hyperlink" Target="https://www.iposcoop.com/specific-industry/?industry=Health_Care&amp;justPriced=1" TargetMode="External"/><Relationship Id="rId122" Type="http://schemas.openxmlformats.org/officeDocument/2006/relationships/hyperlink" Target="http://finance.yahoo.com/q?s=EAR" TargetMode="External"/><Relationship Id="rId164" Type="http://schemas.openxmlformats.org/officeDocument/2006/relationships/hyperlink" Target="http://finance.yahoo.com/q?s=CCCC" TargetMode="External"/><Relationship Id="rId371" Type="http://schemas.openxmlformats.org/officeDocument/2006/relationships/hyperlink" Target="http://finance.yahoo.com/q?s=RLAY" TargetMode="External"/><Relationship Id="rId427" Type="http://schemas.openxmlformats.org/officeDocument/2006/relationships/hyperlink" Target="https://www.iposcoop.com/ipo/genetron-holdings/" TargetMode="External"/><Relationship Id="rId469" Type="http://schemas.openxmlformats.org/officeDocument/2006/relationships/hyperlink" Target="https://www.iposcoop.com/ipo/dada-nexus-limited/" TargetMode="External"/><Relationship Id="rId26" Type="http://schemas.openxmlformats.org/officeDocument/2006/relationships/hyperlink" Target="http://finance.yahoo.com/q?s=PUBM" TargetMode="External"/><Relationship Id="rId231" Type="http://schemas.openxmlformats.org/officeDocument/2006/relationships/hyperlink" Target="https://www.iposcoop.com/specific-industry/?industry=Consumer_Goods&amp;justPriced=1" TargetMode="External"/><Relationship Id="rId273" Type="http://schemas.openxmlformats.org/officeDocument/2006/relationships/hyperlink" Target="https://www.iposcoop.com/specific-industry/?industry=Health_Care&amp;justPriced=1" TargetMode="External"/><Relationship Id="rId329" Type="http://schemas.openxmlformats.org/officeDocument/2006/relationships/hyperlink" Target="http://finance.yahoo.com/q?s=VITL" TargetMode="External"/><Relationship Id="rId480" Type="http://schemas.openxmlformats.org/officeDocument/2006/relationships/hyperlink" Target="https://www.iposcoop.com/specific-industry/?industry=Technology&amp;justPriced=1" TargetMode="External"/><Relationship Id="rId536" Type="http://schemas.openxmlformats.org/officeDocument/2006/relationships/hyperlink" Target="http://finance.yahoo.com/q?s=RVMD" TargetMode="External"/><Relationship Id="rId68" Type="http://schemas.openxmlformats.org/officeDocument/2006/relationships/hyperlink" Target="http://finance.yahoo.com/q?s=LU" TargetMode="External"/><Relationship Id="rId133" Type="http://schemas.openxmlformats.org/officeDocument/2006/relationships/hyperlink" Target="https://www.iposcoop.com/ipo/array-technologies-inc/" TargetMode="External"/><Relationship Id="rId175" Type="http://schemas.openxmlformats.org/officeDocument/2006/relationships/hyperlink" Target="https://www.iposcoop.com/ipo/mission-produce-inc/" TargetMode="External"/><Relationship Id="rId340" Type="http://schemas.openxmlformats.org/officeDocument/2006/relationships/hyperlink" Target="https://www.iposcoop.com/ipo/annexon/" TargetMode="External"/><Relationship Id="rId578" Type="http://schemas.openxmlformats.org/officeDocument/2006/relationships/hyperlink" Target="http://finance.yahoo.com/q?s=IMAB" TargetMode="External"/><Relationship Id="rId200" Type="http://schemas.openxmlformats.org/officeDocument/2006/relationships/hyperlink" Target="http://finance.yahoo.com/q?s=AMST" TargetMode="External"/><Relationship Id="rId382" Type="http://schemas.openxmlformats.org/officeDocument/2006/relationships/hyperlink" Target="https://www.iposcoop.com/ipo/nkarta/" TargetMode="External"/><Relationship Id="rId438" Type="http://schemas.openxmlformats.org/officeDocument/2006/relationships/hyperlink" Target="https://www.iposcoop.com/specific-industry/?industry=Health_Care&amp;justPriced=1" TargetMode="External"/><Relationship Id="rId242" Type="http://schemas.openxmlformats.org/officeDocument/2006/relationships/hyperlink" Target="http://finance.yahoo.com/q?s=VTRU" TargetMode="External"/><Relationship Id="rId284" Type="http://schemas.openxmlformats.org/officeDocument/2006/relationships/hyperlink" Target="http://finance.yahoo.com/q?s=NTST" TargetMode="External"/><Relationship Id="rId491" Type="http://schemas.openxmlformats.org/officeDocument/2006/relationships/hyperlink" Target="http://finance.yahoo.com/q?s=SLQT" TargetMode="External"/><Relationship Id="rId505" Type="http://schemas.openxmlformats.org/officeDocument/2006/relationships/hyperlink" Target="https://www.iposcoop.com/ipo/lyra-therapeutics/" TargetMode="External"/><Relationship Id="rId37" Type="http://schemas.openxmlformats.org/officeDocument/2006/relationships/hyperlink" Target="https://www.iposcoop.com/ipo/kinnate-biopharma-inc/" TargetMode="External"/><Relationship Id="rId79" Type="http://schemas.openxmlformats.org/officeDocument/2006/relationships/hyperlink" Target="https://www.iposcoop.com/ipo/leslies-inc/" TargetMode="External"/><Relationship Id="rId102" Type="http://schemas.openxmlformats.org/officeDocument/2006/relationships/hyperlink" Target="https://www.iposcoop.com/specific-industry/?industry=Blank_Check&amp;justPriced=1" TargetMode="External"/><Relationship Id="rId144" Type="http://schemas.openxmlformats.org/officeDocument/2006/relationships/hyperlink" Target="https://www.iposcoop.com/specific-industry/?industry=Consumer_Services&amp;justPriced=1" TargetMode="External"/><Relationship Id="rId547" Type="http://schemas.openxmlformats.org/officeDocument/2006/relationships/hyperlink" Target="https://www.iposcoop.com/ipo/beam-therapeutics/" TargetMode="External"/><Relationship Id="rId589" Type="http://schemas.openxmlformats.org/officeDocument/2006/relationships/hyperlink" Target="https://www.iposcoop.com/ipo/molecular-data/" TargetMode="External"/><Relationship Id="rId90" Type="http://schemas.openxmlformats.org/officeDocument/2006/relationships/hyperlink" Target="https://www.iposcoop.com/specific-industry/?industry=Financials&amp;justPriced=1" TargetMode="External"/><Relationship Id="rId186" Type="http://schemas.openxmlformats.org/officeDocument/2006/relationships/hyperlink" Target="https://www.iposcoop.com/specific-industry/?industry=Consumer_Goods&amp;justPriced=1" TargetMode="External"/><Relationship Id="rId351" Type="http://schemas.openxmlformats.org/officeDocument/2006/relationships/hyperlink" Target="https://www.iposcoop.com/specific-industry/?industry=Health_Care&amp;justPriced=1" TargetMode="External"/><Relationship Id="rId393" Type="http://schemas.openxmlformats.org/officeDocument/2006/relationships/hyperlink" Target="https://www.iposcoop.com/specific-industry/?industry=Technology&amp;justPriced=1" TargetMode="External"/><Relationship Id="rId407" Type="http://schemas.openxmlformats.org/officeDocument/2006/relationships/hyperlink" Target="http://finance.yahoo.com/q?s=API" TargetMode="External"/><Relationship Id="rId449" Type="http://schemas.openxmlformats.org/officeDocument/2006/relationships/hyperlink" Target="http://finance.yahoo.com/q?s=GBIO" TargetMode="External"/><Relationship Id="rId211" Type="http://schemas.openxmlformats.org/officeDocument/2006/relationships/hyperlink" Target="https://www.iposcoop.com/ipo/prelude-therapeutics/" TargetMode="External"/><Relationship Id="rId253" Type="http://schemas.openxmlformats.org/officeDocument/2006/relationships/hyperlink" Target="https://www.iposcoop.com/ipo/sumo-logic-inc/" TargetMode="External"/><Relationship Id="rId295" Type="http://schemas.openxmlformats.org/officeDocument/2006/relationships/hyperlink" Target="https://www.iposcoop.com/ipo/freeline-therapeutics-holdings-plc/" TargetMode="External"/><Relationship Id="rId309" Type="http://schemas.openxmlformats.org/officeDocument/2006/relationships/hyperlink" Target="https://www.iposcoop.com/specific-industry/?industry=Financials&amp;justPriced=1" TargetMode="External"/><Relationship Id="rId460" Type="http://schemas.openxmlformats.org/officeDocument/2006/relationships/hyperlink" Target="https://www.iposcoop.com/ipo/hudson-executive-investment/" TargetMode="External"/><Relationship Id="rId516" Type="http://schemas.openxmlformats.org/officeDocument/2006/relationships/hyperlink" Target="https://www.iposcoop.com/specific-industry/?industry=Health_Care&amp;justPriced=1" TargetMode="External"/><Relationship Id="rId48" Type="http://schemas.openxmlformats.org/officeDocument/2006/relationships/hyperlink" Target="https://www.iposcoop.com/specific-industry/?industry=Consumer_Goods&amp;justPriced=1" TargetMode="External"/><Relationship Id="rId113" Type="http://schemas.openxmlformats.org/officeDocument/2006/relationships/hyperlink" Target="http://finance.yahoo.com/q?s=YGMZ" TargetMode="External"/><Relationship Id="rId320" Type="http://schemas.openxmlformats.org/officeDocument/2006/relationships/hyperlink" Target="http://finance.yahoo.com/q?s=GOED" TargetMode="External"/><Relationship Id="rId558" Type="http://schemas.openxmlformats.org/officeDocument/2006/relationships/hyperlink" Target="https://www.iposcoop.com/specific-industry/?industry=Health_Care&amp;justPriced=1" TargetMode="External"/><Relationship Id="rId155" Type="http://schemas.openxmlformats.org/officeDocument/2006/relationships/hyperlink" Target="http://finance.yahoo.com/q?s=FUBO" TargetMode="External"/><Relationship Id="rId197" Type="http://schemas.openxmlformats.org/officeDocument/2006/relationships/hyperlink" Target="http://finance.yahoo.com/q?s=ORPH" TargetMode="External"/><Relationship Id="rId362" Type="http://schemas.openxmlformats.org/officeDocument/2006/relationships/hyperlink" Target="http://finance.yahoo.com/q?s=ALXO" TargetMode="External"/><Relationship Id="rId418" Type="http://schemas.openxmlformats.org/officeDocument/2006/relationships/hyperlink" Target="https://www.iposcoop.com/ipo/fusion-pharmaceuticals/" TargetMode="External"/><Relationship Id="rId222" Type="http://schemas.openxmlformats.org/officeDocument/2006/relationships/hyperlink" Target="https://www.iposcoop.com/specific-industry/?industry=Technology&amp;justPriced=1" TargetMode="External"/><Relationship Id="rId264" Type="http://schemas.openxmlformats.org/officeDocument/2006/relationships/hyperlink" Target="https://www.iposcoop.com/specific-industry/?industry=Consumer_Goods&amp;justPriced=1" TargetMode="External"/><Relationship Id="rId471" Type="http://schemas.openxmlformats.org/officeDocument/2006/relationships/hyperlink" Target="https://www.iposcoop.com/specific-industry/?industry=Technology&amp;justPriced=1" TargetMode="External"/><Relationship Id="rId17" Type="http://schemas.openxmlformats.org/officeDocument/2006/relationships/hyperlink" Target="http://finance.yahoo.com/q?s=HYFM" TargetMode="External"/><Relationship Id="rId59" Type="http://schemas.openxmlformats.org/officeDocument/2006/relationships/hyperlink" Target="http://finance.yahoo.com/q?s=OLMA" TargetMode="External"/><Relationship Id="rId124" Type="http://schemas.openxmlformats.org/officeDocument/2006/relationships/hyperlink" Target="https://www.iposcoop.com/ipo/kiromic-biopharma/" TargetMode="External"/><Relationship Id="rId527" Type="http://schemas.openxmlformats.org/officeDocument/2006/relationships/hyperlink" Target="http://finance.yahoo.com/q?s=PASG" TargetMode="External"/><Relationship Id="rId569" Type="http://schemas.openxmlformats.org/officeDocument/2006/relationships/hyperlink" Target="http://finance.yahoo.com/q?s=ANPC" TargetMode="External"/><Relationship Id="rId70" Type="http://schemas.openxmlformats.org/officeDocument/2006/relationships/hyperlink" Target="https://www.iposcoop.com/ipo/sqz-biotechnologies-company/" TargetMode="External"/><Relationship Id="rId166" Type="http://schemas.openxmlformats.org/officeDocument/2006/relationships/hyperlink" Target="https://www.iposcoop.com/ipo/immunome-inc-2/" TargetMode="External"/><Relationship Id="rId331" Type="http://schemas.openxmlformats.org/officeDocument/2006/relationships/hyperlink" Target="https://www.iposcoop.com/ipo/allovir/" TargetMode="External"/><Relationship Id="rId373" Type="http://schemas.openxmlformats.org/officeDocument/2006/relationships/hyperlink" Target="https://www.iposcoop.com/ipo/trean-insurance-group/" TargetMode="External"/><Relationship Id="rId429" Type="http://schemas.openxmlformats.org/officeDocument/2006/relationships/hyperlink" Target="https://www.iposcoop.com/specific-industry/?industry=Health_Care&amp;justPriced=1" TargetMode="External"/><Relationship Id="rId580" Type="http://schemas.openxmlformats.org/officeDocument/2006/relationships/hyperlink" Target="https://www.iposcoop.com/ipo/lizhi/" TargetMode="External"/><Relationship Id="rId1" Type="http://schemas.openxmlformats.org/officeDocument/2006/relationships/hyperlink" Target="https://www.iposcoop.com/ipo/4d-molecular-therapeutics/" TargetMode="External"/><Relationship Id="rId233" Type="http://schemas.openxmlformats.org/officeDocument/2006/relationships/hyperlink" Target="http://finance.yahoo.com/q?s=ATHA" TargetMode="External"/><Relationship Id="rId440" Type="http://schemas.openxmlformats.org/officeDocument/2006/relationships/hyperlink" Target="http://finance.yahoo.com/q?s=RNA" TargetMode="External"/><Relationship Id="rId28" Type="http://schemas.openxmlformats.org/officeDocument/2006/relationships/hyperlink" Target="https://www.iposcoop.com/ipo/17-education-technology-group/" TargetMode="External"/><Relationship Id="rId275" Type="http://schemas.openxmlformats.org/officeDocument/2006/relationships/hyperlink" Target="http://finance.yahoo.com/q?s=INBX" TargetMode="External"/><Relationship Id="rId300" Type="http://schemas.openxmlformats.org/officeDocument/2006/relationships/hyperlink" Target="https://www.iposcoop.com/specific-industry/?industry=Technology&amp;justPriced=1" TargetMode="External"/><Relationship Id="rId482" Type="http://schemas.openxmlformats.org/officeDocument/2006/relationships/hyperlink" Target="http://finance.yahoo.com/q?s=PLRX" TargetMode="External"/><Relationship Id="rId538" Type="http://schemas.openxmlformats.org/officeDocument/2006/relationships/hyperlink" Target="https://www.iposcoop.com/ipo/huize-holding-ltd/" TargetMode="External"/><Relationship Id="rId81" Type="http://schemas.openxmlformats.org/officeDocument/2006/relationships/hyperlink" Target="https://www.iposcoop.com/specific-industry/?industry=Consumer_Goods&amp;justPriced=1" TargetMode="External"/><Relationship Id="rId135" Type="http://schemas.openxmlformats.org/officeDocument/2006/relationships/hyperlink" Target="https://www.iposcoop.com/specific-industry/?industry=Industrials&amp;justPriced=1" TargetMode="External"/><Relationship Id="rId177" Type="http://schemas.openxmlformats.org/officeDocument/2006/relationships/hyperlink" Target="https://www.iposcoop.com/specific-industry/?industry=Consumer_Goods&amp;justPriced=1" TargetMode="External"/><Relationship Id="rId342" Type="http://schemas.openxmlformats.org/officeDocument/2006/relationships/hyperlink" Target="https://www.iposcoop.com/specific-industry/?industry=Health_Care&amp;justPriced=1" TargetMode="External"/><Relationship Id="rId384" Type="http://schemas.openxmlformats.org/officeDocument/2006/relationships/hyperlink" Target="https://www.iposcoop.com/specific-industry/?industry=Health_Care&amp;justPriced=1" TargetMode="External"/><Relationship Id="rId591" Type="http://schemas.openxmlformats.org/officeDocument/2006/relationships/hyperlink" Target="https://www.iposcoop.com/specific-industry/?industry=Consumer_Services&amp;justPriced=1" TargetMode="External"/><Relationship Id="rId202" Type="http://schemas.openxmlformats.org/officeDocument/2006/relationships/hyperlink" Target="https://www.iposcoop.com/ipo/graybug-vision-inc/" TargetMode="External"/><Relationship Id="rId244" Type="http://schemas.openxmlformats.org/officeDocument/2006/relationships/hyperlink" Target="https://www.iposcoop.com/ipo/american-well-corp/" TargetMode="External"/><Relationship Id="rId39" Type="http://schemas.openxmlformats.org/officeDocument/2006/relationships/hyperlink" Target="https://www.iposcoop.com/specific-industry/?industry=Health_Care&amp;justPriced=1" TargetMode="External"/><Relationship Id="rId286" Type="http://schemas.openxmlformats.org/officeDocument/2006/relationships/hyperlink" Target="https://www.iposcoop.com/ipo/fs-development/" TargetMode="External"/><Relationship Id="rId451" Type="http://schemas.openxmlformats.org/officeDocument/2006/relationships/hyperlink" Target="https://www.iposcoop.com/ipo/vaxcyte/" TargetMode="External"/><Relationship Id="rId493" Type="http://schemas.openxmlformats.org/officeDocument/2006/relationships/hyperlink" Target="https://www.iposcoop.com/ipo/adc-therapeutics-america-sa/" TargetMode="External"/><Relationship Id="rId507" Type="http://schemas.openxmlformats.org/officeDocument/2006/relationships/hyperlink" Target="https://www.iposcoop.com/specific-industry/?industry=Health_Care&amp;justPriced=1" TargetMode="External"/><Relationship Id="rId549" Type="http://schemas.openxmlformats.org/officeDocument/2006/relationships/hyperlink" Target="https://www.iposcoop.com/specific-industry/?industry=Health_Care&amp;justPriced=1" TargetMode="External"/><Relationship Id="rId50" Type="http://schemas.openxmlformats.org/officeDocument/2006/relationships/hyperlink" Target="http://finance.yahoo.com/q?s=MRVI" TargetMode="External"/><Relationship Id="rId104" Type="http://schemas.openxmlformats.org/officeDocument/2006/relationships/hyperlink" Target="http://finance.yahoo.com/q?s=GHLD" TargetMode="External"/><Relationship Id="rId146" Type="http://schemas.openxmlformats.org/officeDocument/2006/relationships/hyperlink" Target="http://finance.yahoo.com/q?s=KRON" TargetMode="External"/><Relationship Id="rId188" Type="http://schemas.openxmlformats.org/officeDocument/2006/relationships/hyperlink" Target="http://finance.yahoo.com/q?s=CD" TargetMode="External"/><Relationship Id="rId311" Type="http://schemas.openxmlformats.org/officeDocument/2006/relationships/hyperlink" Target="http://finance.yahoo.com/q?s=BIGC" TargetMode="External"/><Relationship Id="rId353" Type="http://schemas.openxmlformats.org/officeDocument/2006/relationships/hyperlink" Target="http://finance.yahoo.com/q?s=MEG" TargetMode="External"/><Relationship Id="rId395" Type="http://schemas.openxmlformats.org/officeDocument/2006/relationships/hyperlink" Target="http://finance.yahoo.com/q?s=TXAC" TargetMode="External"/><Relationship Id="rId409" Type="http://schemas.openxmlformats.org/officeDocument/2006/relationships/hyperlink" Target="https://www.iposcoop.com/ipo/akouos/" TargetMode="External"/><Relationship Id="rId560" Type="http://schemas.openxmlformats.org/officeDocument/2006/relationships/hyperlink" Target="http://finance.yahoo.com/q?s=ONEM" TargetMode="External"/><Relationship Id="rId92" Type="http://schemas.openxmlformats.org/officeDocument/2006/relationships/hyperlink" Target="http://finance.yahoo.com/q?s=ROOT" TargetMode="External"/><Relationship Id="rId213" Type="http://schemas.openxmlformats.org/officeDocument/2006/relationships/hyperlink" Target="https://www.iposcoop.com/specific-industry/?industry=Health_Care&amp;justPriced=1" TargetMode="External"/><Relationship Id="rId420" Type="http://schemas.openxmlformats.org/officeDocument/2006/relationships/hyperlink" Target="https://www.iposcoop.com/specific-industry/?industry=Health_Care&amp;justPriced=1" TargetMode="External"/><Relationship Id="rId255" Type="http://schemas.openxmlformats.org/officeDocument/2006/relationships/hyperlink" Target="https://www.iposcoop.com/specific-industry/?industry=Technology&amp;justPriced=1" TargetMode="External"/><Relationship Id="rId297" Type="http://schemas.openxmlformats.org/officeDocument/2006/relationships/hyperlink" Target="https://www.iposcoop.com/specific-industry/?industry=Health_Care&amp;justPriced=1" TargetMode="External"/><Relationship Id="rId462" Type="http://schemas.openxmlformats.org/officeDocument/2006/relationships/hyperlink" Target="https://www.iposcoop.com/specific-industry/?industry=Blank_Check&amp;justPriced=1" TargetMode="External"/><Relationship Id="rId518" Type="http://schemas.openxmlformats.org/officeDocument/2006/relationships/hyperlink" Target="http://finance.yahoo.com/q?s=WIMI" TargetMode="External"/><Relationship Id="rId115" Type="http://schemas.openxmlformats.org/officeDocument/2006/relationships/hyperlink" Target="https://www.iposcoop.com/ipo/helix-acquisition-corp/" TargetMode="External"/><Relationship Id="rId157" Type="http://schemas.openxmlformats.org/officeDocument/2006/relationships/hyperlink" Target="https://www.iposcoop.com/ipo/presidio-property-trust/" TargetMode="External"/><Relationship Id="rId322" Type="http://schemas.openxmlformats.org/officeDocument/2006/relationships/hyperlink" Target="https://www.iposcoop.com/ipo/fathom-holdings/" TargetMode="External"/><Relationship Id="rId364" Type="http://schemas.openxmlformats.org/officeDocument/2006/relationships/hyperlink" Target="https://www.iposcoop.com/ipo/berkeley-lights/" TargetMode="External"/><Relationship Id="rId61" Type="http://schemas.openxmlformats.org/officeDocument/2006/relationships/hyperlink" Target="https://www.iposcoop.com/ipo/yatsen-holding-limited/" TargetMode="External"/><Relationship Id="rId199" Type="http://schemas.openxmlformats.org/officeDocument/2006/relationships/hyperlink" Target="https://www.iposcoop.com/ipo/amesite/" TargetMode="External"/><Relationship Id="rId571" Type="http://schemas.openxmlformats.org/officeDocument/2006/relationships/hyperlink" Target="https://www.iposcoop.com/ipo/black-diamond-therapeutics/" TargetMode="External"/><Relationship Id="rId19" Type="http://schemas.openxmlformats.org/officeDocument/2006/relationships/hyperlink" Target="https://www.iposcoop.com/ipo/c3-ai-inc/" TargetMode="External"/><Relationship Id="rId224" Type="http://schemas.openxmlformats.org/officeDocument/2006/relationships/hyperlink" Target="http://finance.yahoo.com/q?s=CRSR" TargetMode="External"/><Relationship Id="rId266" Type="http://schemas.openxmlformats.org/officeDocument/2006/relationships/hyperlink" Target="http://finance.yahoo.com/q?s=KYMR" TargetMode="External"/><Relationship Id="rId431" Type="http://schemas.openxmlformats.org/officeDocument/2006/relationships/hyperlink" Target="http://finance.yahoo.com/q?s=PROG" TargetMode="External"/><Relationship Id="rId473" Type="http://schemas.openxmlformats.org/officeDocument/2006/relationships/hyperlink" Target="http://finance.yahoo.com/q?s=LEGN" TargetMode="External"/><Relationship Id="rId529" Type="http://schemas.openxmlformats.org/officeDocument/2006/relationships/hyperlink" Target="https://www.iposcoop.com/ipo/zhongchao/" TargetMode="External"/><Relationship Id="rId30" Type="http://schemas.openxmlformats.org/officeDocument/2006/relationships/hyperlink" Target="https://www.iposcoop.com/specific-industry/?industry=Consumer_Services&amp;justPriced=1" TargetMode="External"/><Relationship Id="rId126" Type="http://schemas.openxmlformats.org/officeDocument/2006/relationships/hyperlink" Target="https://www.iposcoop.com/specific-industry/?industry=Health_Care&amp;justPriced=1" TargetMode="External"/><Relationship Id="rId168" Type="http://schemas.openxmlformats.org/officeDocument/2006/relationships/hyperlink" Target="https://www.iposcoop.com/specific-industry/?industry=Health_Care&amp;justPriced=1" TargetMode="External"/><Relationship Id="rId333" Type="http://schemas.openxmlformats.org/officeDocument/2006/relationships/hyperlink" Target="https://www.iposcoop.com/specific-industry/?industry=Health_Care&amp;justPriced=1" TargetMode="External"/><Relationship Id="rId540" Type="http://schemas.openxmlformats.org/officeDocument/2006/relationships/hyperlink" Target="https://www.iposcoop.com/specific-industry/?industry=Financials&amp;justPriced=1" TargetMode="External"/><Relationship Id="rId72" Type="http://schemas.openxmlformats.org/officeDocument/2006/relationships/hyperlink" Target="https://www.iposcoop.com/specific-industry/?industry=Health_Care&amp;justPriced=1" TargetMode="External"/><Relationship Id="rId375" Type="http://schemas.openxmlformats.org/officeDocument/2006/relationships/hyperlink" Target="https://www.iposcoop.com/specific-industry/?industry=Financials&amp;justPriced=1" TargetMode="External"/><Relationship Id="rId582" Type="http://schemas.openxmlformats.org/officeDocument/2006/relationships/hyperlink" Target="https://www.iposcoop.com/specific-industry/?industry=Technology&amp;justPriced=1" TargetMode="External"/><Relationship Id="rId3" Type="http://schemas.openxmlformats.org/officeDocument/2006/relationships/hyperlink" Target="https://www.iposcoop.com/specific-industry/?industry=Health_Care&amp;justPriced=1" TargetMode="External"/><Relationship Id="rId235" Type="http://schemas.openxmlformats.org/officeDocument/2006/relationships/hyperlink" Target="https://www.iposcoop.com/ipo/compass-pathways-plc/" TargetMode="External"/><Relationship Id="rId277" Type="http://schemas.openxmlformats.org/officeDocument/2006/relationships/hyperlink" Target="https://www.iposcoop.com/ipo/curevac-n-v/" TargetMode="External"/><Relationship Id="rId400" Type="http://schemas.openxmlformats.org/officeDocument/2006/relationships/hyperlink" Target="https://www.iposcoop.com/ipo/lemonade/" TargetMode="External"/><Relationship Id="rId442" Type="http://schemas.openxmlformats.org/officeDocument/2006/relationships/hyperlink" Target="https://www.iposcoop.com/ipo/cpg-newco-llc-the-azek-company/" TargetMode="External"/><Relationship Id="rId484" Type="http://schemas.openxmlformats.org/officeDocument/2006/relationships/hyperlink" Target="https://www.iposcoop.com/ipo/warner-music-group/" TargetMode="External"/><Relationship Id="rId137" Type="http://schemas.openxmlformats.org/officeDocument/2006/relationships/hyperlink" Target="http://finance.yahoo.com/q?s=MNSO" TargetMode="External"/><Relationship Id="rId302" Type="http://schemas.openxmlformats.org/officeDocument/2006/relationships/hyperlink" Target="http://finance.yahoo.com/q?s=AFIB" TargetMode="External"/><Relationship Id="rId344" Type="http://schemas.openxmlformats.org/officeDocument/2006/relationships/hyperlink" Target="http://finance.yahoo.com/q?s=INZY" TargetMode="External"/><Relationship Id="rId41" Type="http://schemas.openxmlformats.org/officeDocument/2006/relationships/hyperlink" Target="http://finance.yahoo.com/q?s=HFEN" TargetMode="External"/><Relationship Id="rId83" Type="http://schemas.openxmlformats.org/officeDocument/2006/relationships/hyperlink" Target="http://finance.yahoo.com/q?s=BDSX" TargetMode="External"/><Relationship Id="rId179" Type="http://schemas.openxmlformats.org/officeDocument/2006/relationships/hyperlink" Target="http://finance.yahoo.com/q?s=LUNG" TargetMode="External"/><Relationship Id="rId386" Type="http://schemas.openxmlformats.org/officeDocument/2006/relationships/hyperlink" Target="http://finance.yahoo.com/q?s=PSTX" TargetMode="External"/><Relationship Id="rId551" Type="http://schemas.openxmlformats.org/officeDocument/2006/relationships/hyperlink" Target="http://finance.yahoo.com/q?s=CSPR" TargetMode="External"/><Relationship Id="rId593" Type="http://schemas.openxmlformats.org/officeDocument/2006/relationships/hyperlink" Target="http://finance.yahoo.com/q?s=INDO" TargetMode="External"/><Relationship Id="rId190" Type="http://schemas.openxmlformats.org/officeDocument/2006/relationships/hyperlink" Target="https://www.iposcoop.com/ipo/palantir-technologies/" TargetMode="External"/><Relationship Id="rId204" Type="http://schemas.openxmlformats.org/officeDocument/2006/relationships/hyperlink" Target="https://www.iposcoop.com/specific-industry/?industry=Health_Care&amp;justPriced=1" TargetMode="External"/><Relationship Id="rId246" Type="http://schemas.openxmlformats.org/officeDocument/2006/relationships/hyperlink" Target="https://www.iposcoop.com/specific-industry/?industry=Health_Care&amp;justPriced=1" TargetMode="External"/><Relationship Id="rId288" Type="http://schemas.openxmlformats.org/officeDocument/2006/relationships/hyperlink" Target="https://www.iposcoop.com/specific-industry/?industry=Blank_Check&amp;justPriced=1" TargetMode="External"/><Relationship Id="rId411" Type="http://schemas.openxmlformats.org/officeDocument/2006/relationships/hyperlink" Target="https://www.iposcoop.com/specific-industry/?industry=Health_Care&amp;justPriced=1" TargetMode="External"/><Relationship Id="rId453" Type="http://schemas.openxmlformats.org/officeDocument/2006/relationships/hyperlink" Target="https://www.iposcoop.com/specific-industry/?industry=Health_Care&amp;justPriced=1" TargetMode="External"/><Relationship Id="rId509" Type="http://schemas.openxmlformats.org/officeDocument/2006/relationships/hyperlink" Target="http://finance.yahoo.com/q?s=ORIC" TargetMode="External"/><Relationship Id="rId106" Type="http://schemas.openxmlformats.org/officeDocument/2006/relationships/hyperlink" Target="https://www.iposcoop.com/ipo/mcafee-corp/" TargetMode="External"/><Relationship Id="rId313" Type="http://schemas.openxmlformats.org/officeDocument/2006/relationships/hyperlink" Target="https://www.iposcoop.com/ipo/rackspace-technology-inc/" TargetMode="External"/><Relationship Id="rId495" Type="http://schemas.openxmlformats.org/officeDocument/2006/relationships/hyperlink" Target="https://www.iposcoop.com/specific-industry/?industry=Health_Care&amp;justPriced=1" TargetMode="External"/><Relationship Id="rId10" Type="http://schemas.openxmlformats.org/officeDocument/2006/relationships/hyperlink" Target="https://www.iposcoop.com/ipo/vivos-therapeutics/" TargetMode="External"/><Relationship Id="rId52" Type="http://schemas.openxmlformats.org/officeDocument/2006/relationships/hyperlink" Target="https://www.iposcoop.com/ipo/sotera-health-company/" TargetMode="External"/><Relationship Id="rId94" Type="http://schemas.openxmlformats.org/officeDocument/2006/relationships/hyperlink" Target="https://www.iposcoop.com/ipo/foghorn-therapeutics-inc/" TargetMode="External"/><Relationship Id="rId148" Type="http://schemas.openxmlformats.org/officeDocument/2006/relationships/hyperlink" Target="https://www.iposcoop.com/ipo/spruce-biosciences-inc/" TargetMode="External"/><Relationship Id="rId355" Type="http://schemas.openxmlformats.org/officeDocument/2006/relationships/hyperlink" Target="https://www.iposcoop.com/ipo/skillful-craftsman-education-technology-ltd/" TargetMode="External"/><Relationship Id="rId397" Type="http://schemas.openxmlformats.org/officeDocument/2006/relationships/hyperlink" Target="https://www.iposcoop.com/ipo/accolade/" TargetMode="External"/><Relationship Id="rId520" Type="http://schemas.openxmlformats.org/officeDocument/2006/relationships/hyperlink" Target="https://www.iposcoop.com/ipo/imara-inc/" TargetMode="External"/><Relationship Id="rId562" Type="http://schemas.openxmlformats.org/officeDocument/2006/relationships/hyperlink" Target="https://www.iposcoop.com/ipo/arcutis-biotherapeutics/" TargetMode="External"/><Relationship Id="rId215" Type="http://schemas.openxmlformats.org/officeDocument/2006/relationships/hyperlink" Target="http://finance.yahoo.com/q?s=VIAO" TargetMode="External"/><Relationship Id="rId257" Type="http://schemas.openxmlformats.org/officeDocument/2006/relationships/hyperlink" Target="http://finance.yahoo.com/q?s=AUVI" TargetMode="External"/><Relationship Id="rId422" Type="http://schemas.openxmlformats.org/officeDocument/2006/relationships/hyperlink" Target="http://finance.yahoo.com/q?s=PYPD" TargetMode="External"/><Relationship Id="rId464" Type="http://schemas.openxmlformats.org/officeDocument/2006/relationships/hyperlink" Target="http://finance.yahoo.com/q?s=VRM" TargetMode="External"/><Relationship Id="rId299" Type="http://schemas.openxmlformats.org/officeDocument/2006/relationships/hyperlink" Target="http://finance.yahoo.com/q?s=IBEX" TargetMode="External"/><Relationship Id="rId63" Type="http://schemas.openxmlformats.org/officeDocument/2006/relationships/hyperlink" Target="https://www.iposcoop.com/specific-industry/?industry=Consumer_Goods&amp;justPriced=1" TargetMode="External"/><Relationship Id="rId159" Type="http://schemas.openxmlformats.org/officeDocument/2006/relationships/hyperlink" Target="https://www.iposcoop.com/specific-industry/?industry=Financials&amp;justPriced=1" TargetMode="External"/><Relationship Id="rId366" Type="http://schemas.openxmlformats.org/officeDocument/2006/relationships/hyperlink" Target="https://www.iposcoop.com/specific-industry/?industry=Health_Care&amp;justPriced=1" TargetMode="External"/><Relationship Id="rId573" Type="http://schemas.openxmlformats.org/officeDocument/2006/relationships/hyperlink" Target="https://www.iposcoop.com/specific-industry/?industry=Health_Care&amp;justPriced=1" TargetMode="External"/><Relationship Id="rId226" Type="http://schemas.openxmlformats.org/officeDocument/2006/relationships/hyperlink" Target="https://www.iposcoop.com/ipo/goodrx-holdings/" TargetMode="External"/><Relationship Id="rId433" Type="http://schemas.openxmlformats.org/officeDocument/2006/relationships/hyperlink" Target="https://www.iposcoop.com/ipo/repare-therapeutics/" TargetMode="External"/><Relationship Id="rId74" Type="http://schemas.openxmlformats.org/officeDocument/2006/relationships/hyperlink" Target="http://finance.yahoo.com/q?s=ALGM" TargetMode="External"/><Relationship Id="rId377" Type="http://schemas.openxmlformats.org/officeDocument/2006/relationships/hyperlink" Target="http://finance.yahoo.com/q?s=GOCO" TargetMode="External"/><Relationship Id="rId500" Type="http://schemas.openxmlformats.org/officeDocument/2006/relationships/hyperlink" Target="http://finance.yahoo.com/q?s=CLEU" TargetMode="External"/><Relationship Id="rId584" Type="http://schemas.openxmlformats.org/officeDocument/2006/relationships/hyperlink" Target="http://finance.yahoo.com/q?s=DNK" TargetMode="External"/><Relationship Id="rId5" Type="http://schemas.openxmlformats.org/officeDocument/2006/relationships/hyperlink" Target="http://finance.yahoo.com/q?s=ABCL" TargetMode="External"/><Relationship Id="rId237" Type="http://schemas.openxmlformats.org/officeDocument/2006/relationships/hyperlink" Target="https://www.iposcoop.com/specific-industry/?industry=Health_Care&amp;justPriced=1" TargetMode="External"/><Relationship Id="rId444" Type="http://schemas.openxmlformats.org/officeDocument/2006/relationships/hyperlink" Target="https://www.iposcoop.com/specific-industry/?industry=Consumer_Goods&amp;justPriced=1" TargetMode="External"/><Relationship Id="rId290" Type="http://schemas.openxmlformats.org/officeDocument/2006/relationships/hyperlink" Target="http://finance.yahoo.com/q?s=ARYA" TargetMode="External"/><Relationship Id="rId304" Type="http://schemas.openxmlformats.org/officeDocument/2006/relationships/hyperlink" Target="https://www.iposcoop.com/ipo/oak-street-health-inc/" TargetMode="External"/><Relationship Id="rId388" Type="http://schemas.openxmlformats.org/officeDocument/2006/relationships/hyperlink" Target="https://www.iposcoop.com/ipo/quhuo-limited/" TargetMode="External"/><Relationship Id="rId511" Type="http://schemas.openxmlformats.org/officeDocument/2006/relationships/hyperlink" Target="https://www.iposcoop.com/ipo/keros-therapeutics/" TargetMode="External"/><Relationship Id="rId85" Type="http://schemas.openxmlformats.org/officeDocument/2006/relationships/hyperlink" Target="https://www.iposcoop.com/ipo/gatos-silver-inc/" TargetMode="External"/><Relationship Id="rId150" Type="http://schemas.openxmlformats.org/officeDocument/2006/relationships/hyperlink" Target="https://www.iposcoop.com/specific-industry/?industry=Health_Care&amp;justPriced=1" TargetMode="External"/><Relationship Id="rId595" Type="http://schemas.openxmlformats.org/officeDocument/2006/relationships/hyperlink" Target="https://www.iposcoop.com/ipo/monopar-therapeutics/" TargetMode="External"/><Relationship Id="rId248" Type="http://schemas.openxmlformats.org/officeDocument/2006/relationships/hyperlink" Target="http://finance.yahoo.com/q?s=BNL" TargetMode="External"/><Relationship Id="rId455" Type="http://schemas.openxmlformats.org/officeDocument/2006/relationships/hyperlink" Target="http://finance.yahoo.com/q?s=LTRN" TargetMode="External"/><Relationship Id="rId12" Type="http://schemas.openxmlformats.org/officeDocument/2006/relationships/hyperlink" Target="https://www.iposcoop.com/specific-industry/?industry=Health_Care&amp;justPriced=1" TargetMode="External"/><Relationship Id="rId108" Type="http://schemas.openxmlformats.org/officeDocument/2006/relationships/hyperlink" Target="https://www.iposcoop.com/specific-industry/?industry=Technology&amp;justPriced=1" TargetMode="External"/><Relationship Id="rId315" Type="http://schemas.openxmlformats.org/officeDocument/2006/relationships/hyperlink" Target="https://www.iposcoop.com/specific-industry/?industry=Consumer_Services&amp;justPriced=1" TargetMode="External"/><Relationship Id="rId522" Type="http://schemas.openxmlformats.org/officeDocument/2006/relationships/hyperlink" Target="https://www.iposcoop.com/specific-industry/?industry=Health_Care&amp;justPriced=1" TargetMode="External"/><Relationship Id="rId96" Type="http://schemas.openxmlformats.org/officeDocument/2006/relationships/hyperlink" Target="https://www.iposcoop.com/specific-industry/?industry=Health_Care&amp;justPriced=1" TargetMode="External"/><Relationship Id="rId161" Type="http://schemas.openxmlformats.org/officeDocument/2006/relationships/hyperlink" Target="http://finance.yahoo.com/q?s=ASO" TargetMode="External"/><Relationship Id="rId399" Type="http://schemas.openxmlformats.org/officeDocument/2006/relationships/hyperlink" Target="https://www.iposcoop.com/specific-industry/?industry=Consumer_Services&amp;justPriced=1" TargetMode="External"/><Relationship Id="rId259" Type="http://schemas.openxmlformats.org/officeDocument/2006/relationships/hyperlink" Target="https://www.iposcoop.com/ipo/harbor-custom-development/" TargetMode="External"/><Relationship Id="rId466" Type="http://schemas.openxmlformats.org/officeDocument/2006/relationships/hyperlink" Target="https://www.iposcoop.com/ipo/applied-molecular-transport/" TargetMode="External"/><Relationship Id="rId23" Type="http://schemas.openxmlformats.org/officeDocument/2006/relationships/hyperlink" Target="http://finance.yahoo.com/q?s=DASH" TargetMode="External"/><Relationship Id="rId119" Type="http://schemas.openxmlformats.org/officeDocument/2006/relationships/hyperlink" Target="http://finance.yahoo.com/q?s=ALGS" TargetMode="External"/><Relationship Id="rId326" Type="http://schemas.openxmlformats.org/officeDocument/2006/relationships/hyperlink" Target="http://finance.yahoo.com/q?s=VSTA" TargetMode="External"/><Relationship Id="rId533" Type="http://schemas.openxmlformats.org/officeDocument/2006/relationships/hyperlink" Target="http://finance.yahoo.com/q?s=GRIL" TargetMode="External"/><Relationship Id="rId172" Type="http://schemas.openxmlformats.org/officeDocument/2006/relationships/hyperlink" Target="https://www.iposcoop.com/ipo/lixiang-education-holding-co-ltd/" TargetMode="External"/><Relationship Id="rId477" Type="http://schemas.openxmlformats.org/officeDocument/2006/relationships/hyperlink" Target="https://www.iposcoop.com/specific-industry/?industry=Consumer_Services&amp;justPriced=1" TargetMode="External"/><Relationship Id="rId337" Type="http://schemas.openxmlformats.org/officeDocument/2006/relationships/hyperlink" Target="https://www.iposcoop.com/ipo/vertex/" TargetMode="External"/><Relationship Id="rId34" Type="http://schemas.openxmlformats.org/officeDocument/2006/relationships/hyperlink" Target="https://www.iposcoop.com/ipo/sigilon-therapeutics-inc/" TargetMode="External"/><Relationship Id="rId544" Type="http://schemas.openxmlformats.org/officeDocument/2006/relationships/hyperlink" Target="https://www.iposcoop.com/ipo/onewater-marine/" TargetMode="External"/><Relationship Id="rId183" Type="http://schemas.openxmlformats.org/officeDocument/2006/relationships/hyperlink" Target="https://www.iposcoop.com/specific-industry/?industry=Consumer_Services&amp;justPriced=1" TargetMode="External"/><Relationship Id="rId390" Type="http://schemas.openxmlformats.org/officeDocument/2006/relationships/hyperlink" Target="https://www.iposcoop.com/specific-industry/?industry=Consumer_Services&amp;justPriced=1" TargetMode="External"/><Relationship Id="rId404" Type="http://schemas.openxmlformats.org/officeDocument/2006/relationships/hyperlink" Target="http://finance.yahoo.com/q?s=DNB" TargetMode="External"/><Relationship Id="rId250" Type="http://schemas.openxmlformats.org/officeDocument/2006/relationships/hyperlink" Target="https://www.iposcoop.com/ipo/pactiv-evergreen-inc/" TargetMode="External"/><Relationship Id="rId488" Type="http://schemas.openxmlformats.org/officeDocument/2006/relationships/hyperlink" Target="http://finance.yahoo.com/q?s=NARI" TargetMode="External"/><Relationship Id="rId45" Type="http://schemas.openxmlformats.org/officeDocument/2006/relationships/hyperlink" Target="https://www.iposcoop.com/specific-industry/?industry=Consumer_Goods&amp;justPriced=1" TargetMode="External"/><Relationship Id="rId110" Type="http://schemas.openxmlformats.org/officeDocument/2006/relationships/hyperlink" Target="http://finance.yahoo.com/q?s=MSP" TargetMode="External"/><Relationship Id="rId348" Type="http://schemas.openxmlformats.org/officeDocument/2006/relationships/hyperlink" Target="https://www.iposcoop.com/specific-industry/?industry=Health_Care&amp;justPriced=1" TargetMode="External"/><Relationship Id="rId555" Type="http://schemas.openxmlformats.org/officeDocument/2006/relationships/hyperlink" Target="https://www.iposcoop.com/specific-industry/?industry=Health_Care&amp;justPriced=1" TargetMode="External"/><Relationship Id="rId194" Type="http://schemas.openxmlformats.org/officeDocument/2006/relationships/hyperlink" Target="http://finance.yahoo.com/q?s=YALA" TargetMode="External"/><Relationship Id="rId208" Type="http://schemas.openxmlformats.org/officeDocument/2006/relationships/hyperlink" Target="https://www.iposcoop.com/ipo/pmv-pharmaceuticals-inc/" TargetMode="External"/><Relationship Id="rId415" Type="http://schemas.openxmlformats.org/officeDocument/2006/relationships/hyperlink" Target="https://www.iposcoop.com/ipo/ebang-international-hold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F418-A8E0-495F-B6BD-87C69ED276F3}">
  <sheetPr filterMode="1"/>
  <dimension ref="A1:K203"/>
  <sheetViews>
    <sheetView tabSelected="1" zoomScaleNormal="100" workbookViewId="0">
      <selection sqref="A1:XFD1048576"/>
    </sheetView>
  </sheetViews>
  <sheetFormatPr defaultColWidth="20.140625" defaultRowHeight="15" x14ac:dyDescent="0.25"/>
  <cols>
    <col min="8" max="8" width="20.140625" style="23"/>
  </cols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1" t="s">
        <v>415</v>
      </c>
      <c r="I1" s="1" t="s">
        <v>7</v>
      </c>
      <c r="J1" s="1" t="s">
        <v>8</v>
      </c>
      <c r="K1" s="1" t="s">
        <v>416</v>
      </c>
    </row>
    <row r="2" spans="1:11" ht="30" hidden="1" x14ac:dyDescent="0.25">
      <c r="A2" s="3" t="s">
        <v>10</v>
      </c>
      <c r="B2" s="4" t="s">
        <v>11</v>
      </c>
      <c r="C2" s="3" t="s">
        <v>12</v>
      </c>
      <c r="D2" s="5">
        <v>44176</v>
      </c>
      <c r="E2" s="6">
        <v>8.4</v>
      </c>
      <c r="F2" s="7">
        <v>23</v>
      </c>
      <c r="G2" s="7">
        <v>40.5</v>
      </c>
      <c r="H2" s="22">
        <f>((G2-F2)/F2)</f>
        <v>0.76086956521739135</v>
      </c>
      <c r="I2" s="7">
        <v>40.5</v>
      </c>
      <c r="J2" s="8">
        <v>0.76090000000000002</v>
      </c>
      <c r="K2" s="24">
        <f ca="1">TODAY()-D2</f>
        <v>4</v>
      </c>
    </row>
    <row r="3" spans="1:11" hidden="1" x14ac:dyDescent="0.25">
      <c r="A3" s="9" t="s">
        <v>13</v>
      </c>
      <c r="B3" s="10" t="s">
        <v>14</v>
      </c>
      <c r="C3" s="9" t="s">
        <v>12</v>
      </c>
      <c r="D3" s="11">
        <v>44176</v>
      </c>
      <c r="E3" s="12">
        <v>24.2</v>
      </c>
      <c r="F3" s="13">
        <v>20</v>
      </c>
      <c r="G3" s="13">
        <v>58.9</v>
      </c>
      <c r="H3" s="22">
        <f t="shared" ref="H3:H65" si="0">((G3-F3)/F3)</f>
        <v>1.9449999999999998</v>
      </c>
      <c r="I3" s="13">
        <v>50.01</v>
      </c>
      <c r="J3" s="14">
        <v>1.5004999999999999</v>
      </c>
      <c r="K3" s="24">
        <f t="shared" ref="K3:K66" ca="1" si="1">TODAY()-D3</f>
        <v>4</v>
      </c>
    </row>
    <row r="4" spans="1:11" x14ac:dyDescent="0.25">
      <c r="A4" s="3" t="s">
        <v>15</v>
      </c>
      <c r="B4" s="4" t="s">
        <v>16</v>
      </c>
      <c r="C4" s="3" t="s">
        <v>17</v>
      </c>
      <c r="D4" s="5">
        <v>44176</v>
      </c>
      <c r="E4" s="6">
        <v>29.1</v>
      </c>
      <c r="F4" s="7">
        <v>23</v>
      </c>
      <c r="G4" s="7">
        <v>38.090000000000003</v>
      </c>
      <c r="H4" s="22">
        <f t="shared" si="0"/>
        <v>0.65608695652173932</v>
      </c>
      <c r="I4" s="7">
        <v>33.590000000000003</v>
      </c>
      <c r="J4" s="8">
        <v>0.46039999999999998</v>
      </c>
      <c r="K4" s="24">
        <f t="shared" ca="1" si="1"/>
        <v>4</v>
      </c>
    </row>
    <row r="5" spans="1:11" hidden="1" x14ac:dyDescent="0.25">
      <c r="A5" s="9" t="s">
        <v>18</v>
      </c>
      <c r="B5" s="10" t="s">
        <v>19</v>
      </c>
      <c r="C5" s="9" t="s">
        <v>12</v>
      </c>
      <c r="D5" s="11">
        <v>44176</v>
      </c>
      <c r="E5" s="12">
        <v>3.5</v>
      </c>
      <c r="F5" s="13">
        <v>6</v>
      </c>
      <c r="G5" s="13">
        <v>8.99</v>
      </c>
      <c r="H5" s="22">
        <f t="shared" si="0"/>
        <v>0.49833333333333335</v>
      </c>
      <c r="I5" s="13">
        <v>7.79</v>
      </c>
      <c r="J5" s="14">
        <v>0.29830000000000001</v>
      </c>
      <c r="K5" s="24">
        <f t="shared" ca="1" si="1"/>
        <v>4</v>
      </c>
    </row>
    <row r="6" spans="1:11" hidden="1" x14ac:dyDescent="0.25">
      <c r="A6" s="3" t="s">
        <v>20</v>
      </c>
      <c r="B6" s="4" t="s">
        <v>21</v>
      </c>
      <c r="C6" s="3" t="s">
        <v>9</v>
      </c>
      <c r="D6" s="5">
        <v>44175</v>
      </c>
      <c r="E6" s="6">
        <v>51.6</v>
      </c>
      <c r="F6" s="7">
        <v>68</v>
      </c>
      <c r="G6" s="7">
        <v>144.71</v>
      </c>
      <c r="H6" s="22">
        <f t="shared" si="0"/>
        <v>1.1280882352941177</v>
      </c>
      <c r="I6" s="7">
        <v>130</v>
      </c>
      <c r="J6" s="8">
        <v>0.91180000000000005</v>
      </c>
      <c r="K6" s="24">
        <f t="shared" ca="1" si="1"/>
        <v>5</v>
      </c>
    </row>
    <row r="7" spans="1:11" ht="30" hidden="1" x14ac:dyDescent="0.25">
      <c r="A7" s="9" t="s">
        <v>22</v>
      </c>
      <c r="B7" s="10" t="s">
        <v>23</v>
      </c>
      <c r="C7" s="9" t="s">
        <v>24</v>
      </c>
      <c r="D7" s="11">
        <v>44175</v>
      </c>
      <c r="E7" s="12">
        <v>8.6999999999999993</v>
      </c>
      <c r="F7" s="13">
        <v>20</v>
      </c>
      <c r="G7" s="13">
        <v>51.99</v>
      </c>
      <c r="H7" s="22">
        <f t="shared" si="0"/>
        <v>1.5995000000000001</v>
      </c>
      <c r="I7" s="13">
        <v>43.37</v>
      </c>
      <c r="J7" s="14">
        <v>1.1685000000000001</v>
      </c>
      <c r="K7" s="24">
        <f t="shared" ca="1" si="1"/>
        <v>5</v>
      </c>
    </row>
    <row r="8" spans="1:11" x14ac:dyDescent="0.25">
      <c r="A8" s="3" t="s">
        <v>25</v>
      </c>
      <c r="B8" s="4" t="s">
        <v>26</v>
      </c>
      <c r="C8" s="3" t="s">
        <v>17</v>
      </c>
      <c r="D8" s="5">
        <v>44174</v>
      </c>
      <c r="E8" s="6">
        <v>15.5</v>
      </c>
      <c r="F8" s="7">
        <v>42</v>
      </c>
      <c r="G8" s="7">
        <v>92.49</v>
      </c>
      <c r="H8" s="22">
        <f t="shared" si="0"/>
        <v>1.202142857142857</v>
      </c>
      <c r="I8" s="7">
        <v>102.36</v>
      </c>
      <c r="J8" s="8">
        <v>1.4371</v>
      </c>
      <c r="K8" s="24">
        <f t="shared" ca="1" si="1"/>
        <v>6</v>
      </c>
    </row>
    <row r="9" spans="1:11" hidden="1" x14ac:dyDescent="0.25">
      <c r="A9" s="9" t="s">
        <v>27</v>
      </c>
      <c r="B9" s="10" t="s">
        <v>28</v>
      </c>
      <c r="C9" s="9" t="s">
        <v>9</v>
      </c>
      <c r="D9" s="11">
        <v>44174</v>
      </c>
      <c r="E9" s="12">
        <v>33</v>
      </c>
      <c r="F9" s="13">
        <v>102</v>
      </c>
      <c r="G9" s="13">
        <v>189.51</v>
      </c>
      <c r="H9" s="22">
        <f t="shared" si="0"/>
        <v>0.8579411764705881</v>
      </c>
      <c r="I9" s="13">
        <v>160</v>
      </c>
      <c r="J9" s="14">
        <v>0.56859999999999999</v>
      </c>
      <c r="K9" s="24">
        <f t="shared" ca="1" si="1"/>
        <v>6</v>
      </c>
    </row>
    <row r="10" spans="1:11" x14ac:dyDescent="0.25">
      <c r="A10" s="3" t="s">
        <v>29</v>
      </c>
      <c r="B10" s="4" t="s">
        <v>30</v>
      </c>
      <c r="C10" s="3" t="s">
        <v>17</v>
      </c>
      <c r="D10" s="5">
        <v>44174</v>
      </c>
      <c r="E10" s="6">
        <v>5.9</v>
      </c>
      <c r="F10" s="7">
        <v>20</v>
      </c>
      <c r="G10" s="7">
        <v>29.45</v>
      </c>
      <c r="H10" s="22">
        <f t="shared" si="0"/>
        <v>0.47249999999999998</v>
      </c>
      <c r="I10" s="7">
        <v>24.89</v>
      </c>
      <c r="J10" s="8">
        <v>0.2445</v>
      </c>
      <c r="K10" s="24">
        <f t="shared" ca="1" si="1"/>
        <v>6</v>
      </c>
    </row>
    <row r="11" spans="1:11" ht="30" hidden="1" x14ac:dyDescent="0.25">
      <c r="A11" s="9" t="s">
        <v>31</v>
      </c>
      <c r="B11" s="10" t="s">
        <v>32</v>
      </c>
      <c r="C11" s="9" t="s">
        <v>9</v>
      </c>
      <c r="D11" s="11">
        <v>44169</v>
      </c>
      <c r="E11" s="12">
        <v>27.4</v>
      </c>
      <c r="F11" s="13">
        <v>10.5</v>
      </c>
      <c r="G11" s="13">
        <v>10.58</v>
      </c>
      <c r="H11" s="22">
        <f t="shared" si="0"/>
        <v>7.619047619047626E-3</v>
      </c>
      <c r="I11" s="13">
        <v>14.95</v>
      </c>
      <c r="J11" s="14">
        <v>0.42380000000000001</v>
      </c>
      <c r="K11" s="24">
        <f t="shared" ca="1" si="1"/>
        <v>11</v>
      </c>
    </row>
    <row r="12" spans="1:11" hidden="1" x14ac:dyDescent="0.25">
      <c r="A12" s="3" t="s">
        <v>33</v>
      </c>
      <c r="B12" s="4" t="s">
        <v>34</v>
      </c>
      <c r="C12" s="3" t="s">
        <v>12</v>
      </c>
      <c r="D12" s="5">
        <v>44169</v>
      </c>
      <c r="E12" s="6">
        <v>9.1999999999999993</v>
      </c>
      <c r="F12" s="7">
        <v>19</v>
      </c>
      <c r="G12" s="7">
        <v>56.46</v>
      </c>
      <c r="H12" s="22">
        <f t="shared" si="0"/>
        <v>1.9715789473684211</v>
      </c>
      <c r="I12" s="7">
        <v>66.290000000000006</v>
      </c>
      <c r="J12" s="8">
        <v>2.4889000000000001</v>
      </c>
      <c r="K12" s="24">
        <f t="shared" ca="1" si="1"/>
        <v>11</v>
      </c>
    </row>
    <row r="13" spans="1:11" ht="30" hidden="1" x14ac:dyDescent="0.25">
      <c r="A13" s="9" t="s">
        <v>35</v>
      </c>
      <c r="B13" s="10" t="s">
        <v>36</v>
      </c>
      <c r="C13" s="9" t="s">
        <v>12</v>
      </c>
      <c r="D13" s="11">
        <v>44169</v>
      </c>
      <c r="E13" s="12">
        <v>7</v>
      </c>
      <c r="F13" s="13">
        <v>18</v>
      </c>
      <c r="G13" s="13">
        <v>34.78</v>
      </c>
      <c r="H13" s="22">
        <f t="shared" si="0"/>
        <v>0.93222222222222229</v>
      </c>
      <c r="I13" s="13">
        <v>28.01</v>
      </c>
      <c r="J13" s="14">
        <v>0.55610000000000004</v>
      </c>
      <c r="K13" s="24">
        <f t="shared" ca="1" si="1"/>
        <v>11</v>
      </c>
    </row>
    <row r="14" spans="1:11" ht="30" hidden="1" x14ac:dyDescent="0.25">
      <c r="A14" s="9" t="s">
        <v>37</v>
      </c>
      <c r="B14" s="10" t="s">
        <v>38</v>
      </c>
      <c r="C14" s="9" t="s">
        <v>12</v>
      </c>
      <c r="D14" s="11">
        <v>44168</v>
      </c>
      <c r="E14" s="12">
        <v>12</v>
      </c>
      <c r="F14" s="13">
        <v>20</v>
      </c>
      <c r="G14" s="13">
        <v>39.03</v>
      </c>
      <c r="H14" s="22">
        <f t="shared" si="0"/>
        <v>0.95150000000000001</v>
      </c>
      <c r="I14" s="13">
        <v>39.89</v>
      </c>
      <c r="J14" s="14">
        <v>0.99450000000000005</v>
      </c>
      <c r="K14" s="24">
        <f t="shared" ca="1" si="1"/>
        <v>12</v>
      </c>
    </row>
    <row r="15" spans="1:11" hidden="1" x14ac:dyDescent="0.25">
      <c r="A15" s="3" t="s">
        <v>39</v>
      </c>
      <c r="B15" s="4" t="s">
        <v>40</v>
      </c>
      <c r="C15" s="3" t="s">
        <v>41</v>
      </c>
      <c r="D15" s="5">
        <v>44159</v>
      </c>
      <c r="E15" s="6">
        <v>2.2000000000000002</v>
      </c>
      <c r="F15" s="7">
        <v>7</v>
      </c>
      <c r="G15" s="7">
        <v>6.98</v>
      </c>
      <c r="H15" s="22">
        <f t="shared" si="0"/>
        <v>-2.8571428571427964E-3</v>
      </c>
      <c r="I15" s="7">
        <v>5</v>
      </c>
      <c r="J15" s="8">
        <v>-0.28570000000000001</v>
      </c>
      <c r="K15" s="24">
        <f t="shared" ca="1" si="1"/>
        <v>21</v>
      </c>
    </row>
    <row r="16" spans="1:11" hidden="1" x14ac:dyDescent="0.25">
      <c r="A16" s="9" t="s">
        <v>42</v>
      </c>
      <c r="B16" s="10" t="s">
        <v>43</v>
      </c>
      <c r="C16" s="9" t="s">
        <v>24</v>
      </c>
      <c r="D16" s="11">
        <v>44159</v>
      </c>
      <c r="E16" s="12">
        <v>33</v>
      </c>
      <c r="F16" s="13">
        <v>30</v>
      </c>
      <c r="G16" s="13">
        <v>40.18</v>
      </c>
      <c r="H16" s="22">
        <f t="shared" si="0"/>
        <v>0.33933333333333332</v>
      </c>
      <c r="I16" s="13">
        <v>41.41</v>
      </c>
      <c r="J16" s="14">
        <v>0.38030000000000003</v>
      </c>
      <c r="K16" s="24">
        <f t="shared" ca="1" si="1"/>
        <v>21</v>
      </c>
    </row>
    <row r="17" spans="1:11" ht="30" hidden="1" x14ac:dyDescent="0.25">
      <c r="A17" s="3" t="s">
        <v>44</v>
      </c>
      <c r="B17" s="4" t="s">
        <v>45</v>
      </c>
      <c r="C17" s="3" t="s">
        <v>24</v>
      </c>
      <c r="D17" s="5">
        <v>44159</v>
      </c>
      <c r="E17" s="6">
        <v>2.4</v>
      </c>
      <c r="F17" s="7">
        <v>10</v>
      </c>
      <c r="G17" s="7">
        <v>14.44</v>
      </c>
      <c r="H17" s="22">
        <f t="shared" si="0"/>
        <v>0.44399999999999995</v>
      </c>
      <c r="I17" s="7">
        <v>12.01</v>
      </c>
      <c r="J17" s="8">
        <v>0.20100000000000001</v>
      </c>
      <c r="K17" s="24">
        <f t="shared" ca="1" si="1"/>
        <v>21</v>
      </c>
    </row>
    <row r="18" spans="1:11" ht="45" hidden="1" x14ac:dyDescent="0.25">
      <c r="A18" s="9" t="s">
        <v>46</v>
      </c>
      <c r="B18" s="10" t="s">
        <v>47</v>
      </c>
      <c r="C18" s="9" t="s">
        <v>12</v>
      </c>
      <c r="D18" s="11">
        <v>44155</v>
      </c>
      <c r="E18" s="12">
        <v>60</v>
      </c>
      <c r="F18" s="13">
        <v>27</v>
      </c>
      <c r="G18" s="13">
        <v>29.85</v>
      </c>
      <c r="H18" s="22">
        <f t="shared" si="0"/>
        <v>0.10555555555555561</v>
      </c>
      <c r="I18" s="13">
        <v>25.73</v>
      </c>
      <c r="J18" s="14">
        <v>-4.7E-2</v>
      </c>
      <c r="K18" s="24">
        <f t="shared" ca="1" si="1"/>
        <v>25</v>
      </c>
    </row>
    <row r="19" spans="1:11" ht="30" hidden="1" x14ac:dyDescent="0.25">
      <c r="A19" s="3" t="s">
        <v>48</v>
      </c>
      <c r="B19" s="4" t="s">
        <v>49</v>
      </c>
      <c r="C19" s="3" t="s">
        <v>12</v>
      </c>
      <c r="D19" s="5">
        <v>44155</v>
      </c>
      <c r="E19" s="6">
        <v>46.6</v>
      </c>
      <c r="F19" s="7">
        <v>23</v>
      </c>
      <c r="G19" s="7">
        <v>0</v>
      </c>
      <c r="H19" s="22">
        <f t="shared" si="0"/>
        <v>-1</v>
      </c>
      <c r="I19" s="7">
        <v>25.47</v>
      </c>
      <c r="J19" s="8">
        <v>0.1074</v>
      </c>
      <c r="K19" s="24">
        <f t="shared" ca="1" si="1"/>
        <v>25</v>
      </c>
    </row>
    <row r="20" spans="1:11" hidden="1" x14ac:dyDescent="0.25">
      <c r="A20" s="9" t="s">
        <v>50</v>
      </c>
      <c r="B20" s="10" t="s">
        <v>51</v>
      </c>
      <c r="C20" s="9" t="s">
        <v>9</v>
      </c>
      <c r="D20" s="11">
        <v>44154</v>
      </c>
      <c r="E20" s="12">
        <v>4.8</v>
      </c>
      <c r="F20" s="13">
        <v>17</v>
      </c>
      <c r="G20" s="13">
        <v>21.87</v>
      </c>
      <c r="H20" s="22">
        <f t="shared" si="0"/>
        <v>0.2864705882352942</v>
      </c>
      <c r="I20" s="13">
        <v>21.88</v>
      </c>
      <c r="J20" s="14">
        <v>0.28710000000000002</v>
      </c>
      <c r="K20" s="24">
        <f t="shared" ca="1" si="1"/>
        <v>26</v>
      </c>
    </row>
    <row r="21" spans="1:11" ht="30" hidden="1" x14ac:dyDescent="0.25">
      <c r="A21" s="3" t="s">
        <v>52</v>
      </c>
      <c r="B21" s="4" t="s">
        <v>53</v>
      </c>
      <c r="C21" s="3" t="s">
        <v>12</v>
      </c>
      <c r="D21" s="5">
        <v>44154</v>
      </c>
      <c r="E21" s="6">
        <v>11</v>
      </c>
      <c r="F21" s="7">
        <v>19</v>
      </c>
      <c r="G21" s="7">
        <v>49</v>
      </c>
      <c r="H21" s="22">
        <f t="shared" si="0"/>
        <v>1.5789473684210527</v>
      </c>
      <c r="I21" s="7">
        <v>40.200000000000003</v>
      </c>
      <c r="J21" s="8">
        <v>1.1157999999999999</v>
      </c>
      <c r="K21" s="24">
        <f t="shared" ca="1" si="1"/>
        <v>26</v>
      </c>
    </row>
    <row r="22" spans="1:11" ht="30" hidden="1" x14ac:dyDescent="0.25">
      <c r="A22" s="9" t="s">
        <v>54</v>
      </c>
      <c r="B22" s="10" t="s">
        <v>55</v>
      </c>
      <c r="C22" s="9" t="s">
        <v>24</v>
      </c>
      <c r="D22" s="11">
        <v>44154</v>
      </c>
      <c r="E22" s="12">
        <v>58.8</v>
      </c>
      <c r="F22" s="13">
        <v>10.5</v>
      </c>
      <c r="G22" s="13">
        <v>18.399999999999999</v>
      </c>
      <c r="H22" s="22">
        <f t="shared" si="0"/>
        <v>0.75238095238095226</v>
      </c>
      <c r="I22" s="13">
        <v>15.6</v>
      </c>
      <c r="J22" s="14">
        <v>0.48570000000000002</v>
      </c>
      <c r="K22" s="24">
        <f t="shared" ca="1" si="1"/>
        <v>26</v>
      </c>
    </row>
    <row r="23" spans="1:11" ht="30" hidden="1" x14ac:dyDescent="0.25">
      <c r="A23" s="3" t="s">
        <v>56</v>
      </c>
      <c r="B23" s="4" t="s">
        <v>57</v>
      </c>
      <c r="C23" s="3" t="s">
        <v>12</v>
      </c>
      <c r="D23" s="5">
        <v>44134</v>
      </c>
      <c r="E23" s="6">
        <v>12.5</v>
      </c>
      <c r="F23" s="7">
        <v>24</v>
      </c>
      <c r="G23" s="7">
        <v>30.34</v>
      </c>
      <c r="H23" s="22">
        <f t="shared" si="0"/>
        <v>0.26416666666666666</v>
      </c>
      <c r="I23" s="7">
        <v>31.04</v>
      </c>
      <c r="J23" s="8">
        <v>0.29330000000000001</v>
      </c>
      <c r="K23" s="24">
        <f t="shared" ca="1" si="1"/>
        <v>46</v>
      </c>
    </row>
    <row r="24" spans="1:11" hidden="1" x14ac:dyDescent="0.25">
      <c r="A24" s="9" t="s">
        <v>58</v>
      </c>
      <c r="B24" s="10" t="s">
        <v>59</v>
      </c>
      <c r="C24" s="9" t="s">
        <v>41</v>
      </c>
      <c r="D24" s="11">
        <v>44134</v>
      </c>
      <c r="E24" s="12">
        <v>175</v>
      </c>
      <c r="F24" s="13">
        <v>13.5</v>
      </c>
      <c r="G24" s="13">
        <v>12.85</v>
      </c>
      <c r="H24" s="22">
        <f t="shared" si="0"/>
        <v>-4.8148148148148176E-2</v>
      </c>
      <c r="I24" s="13">
        <v>13.26</v>
      </c>
      <c r="J24" s="14">
        <v>-1.78E-2</v>
      </c>
      <c r="K24" s="24">
        <f t="shared" ca="1" si="1"/>
        <v>46</v>
      </c>
    </row>
    <row r="25" spans="1:11" ht="30" hidden="1" x14ac:dyDescent="0.25">
      <c r="A25" s="3" t="s">
        <v>60</v>
      </c>
      <c r="B25" s="4" t="s">
        <v>61</v>
      </c>
      <c r="C25" s="3" t="s">
        <v>12</v>
      </c>
      <c r="D25" s="5">
        <v>44134</v>
      </c>
      <c r="E25" s="6">
        <v>4.4000000000000004</v>
      </c>
      <c r="F25" s="7">
        <v>16</v>
      </c>
      <c r="G25" s="7">
        <v>13.25</v>
      </c>
      <c r="H25" s="22">
        <f t="shared" si="0"/>
        <v>-0.171875</v>
      </c>
      <c r="I25" s="7">
        <v>24.86</v>
      </c>
      <c r="J25" s="8">
        <v>0.55379999999999996</v>
      </c>
      <c r="K25" s="24">
        <f t="shared" ca="1" si="1"/>
        <v>46</v>
      </c>
    </row>
    <row r="26" spans="1:11" ht="30" x14ac:dyDescent="0.25">
      <c r="A26" s="9" t="s">
        <v>62</v>
      </c>
      <c r="B26" s="10" t="s">
        <v>63</v>
      </c>
      <c r="C26" s="9" t="s">
        <v>17</v>
      </c>
      <c r="D26" s="11">
        <v>44133</v>
      </c>
      <c r="E26" s="12">
        <v>25</v>
      </c>
      <c r="F26" s="13">
        <v>14</v>
      </c>
      <c r="G26" s="13">
        <v>17.7</v>
      </c>
      <c r="H26" s="22">
        <f t="shared" si="0"/>
        <v>0.26428571428571423</v>
      </c>
      <c r="I26" s="13">
        <v>26.8</v>
      </c>
      <c r="J26" s="14">
        <v>0.9143</v>
      </c>
      <c r="K26" s="24">
        <f t="shared" ca="1" si="1"/>
        <v>47</v>
      </c>
    </row>
    <row r="27" spans="1:11" hidden="1" x14ac:dyDescent="0.25">
      <c r="A27" s="3" t="s">
        <v>64</v>
      </c>
      <c r="B27" s="4" t="s">
        <v>65</v>
      </c>
      <c r="C27" s="3" t="s">
        <v>12</v>
      </c>
      <c r="D27" s="5">
        <v>44133</v>
      </c>
      <c r="E27" s="6">
        <v>5.7</v>
      </c>
      <c r="F27" s="7">
        <v>15</v>
      </c>
      <c r="G27" s="7">
        <v>15</v>
      </c>
      <c r="H27" s="22">
        <f t="shared" si="0"/>
        <v>0</v>
      </c>
      <c r="I27" s="7">
        <v>13.55</v>
      </c>
      <c r="J27" s="8">
        <v>-9.6699999999999994E-2</v>
      </c>
      <c r="K27" s="24">
        <f t="shared" ca="1" si="1"/>
        <v>47</v>
      </c>
    </row>
    <row r="28" spans="1:11" hidden="1" x14ac:dyDescent="0.25">
      <c r="A28" s="9" t="s">
        <v>66</v>
      </c>
      <c r="B28" s="10" t="s">
        <v>67</v>
      </c>
      <c r="C28" s="9" t="s">
        <v>24</v>
      </c>
      <c r="D28" s="11">
        <v>44133</v>
      </c>
      <c r="E28" s="12">
        <v>40</v>
      </c>
      <c r="F28" s="13">
        <v>17</v>
      </c>
      <c r="G28" s="13">
        <v>21.7</v>
      </c>
      <c r="H28" s="22">
        <f t="shared" si="0"/>
        <v>0.27647058823529408</v>
      </c>
      <c r="I28" s="13">
        <v>20.45</v>
      </c>
      <c r="J28" s="14">
        <v>0.2029</v>
      </c>
      <c r="K28" s="24">
        <f t="shared" ca="1" si="1"/>
        <v>47</v>
      </c>
    </row>
    <row r="29" spans="1:11" hidden="1" x14ac:dyDescent="0.25">
      <c r="A29" s="3" t="s">
        <v>68</v>
      </c>
      <c r="B29" s="4" t="s">
        <v>69</v>
      </c>
      <c r="C29" s="3" t="s">
        <v>12</v>
      </c>
      <c r="D29" s="5">
        <v>44132</v>
      </c>
      <c r="E29" s="6">
        <v>4</v>
      </c>
      <c r="F29" s="7">
        <v>18</v>
      </c>
      <c r="G29" s="7">
        <v>12.81</v>
      </c>
      <c r="H29" s="22">
        <f t="shared" si="0"/>
        <v>-0.28833333333333333</v>
      </c>
      <c r="I29" s="7">
        <v>15.9</v>
      </c>
      <c r="J29" s="8">
        <v>-0.1167</v>
      </c>
      <c r="K29" s="24">
        <f t="shared" ca="1" si="1"/>
        <v>48</v>
      </c>
    </row>
    <row r="30" spans="1:11" hidden="1" x14ac:dyDescent="0.25">
      <c r="A30" s="9" t="s">
        <v>70</v>
      </c>
      <c r="B30" s="10" t="s">
        <v>71</v>
      </c>
      <c r="C30" s="9" t="s">
        <v>72</v>
      </c>
      <c r="D30" s="11">
        <v>44132</v>
      </c>
      <c r="E30" s="12">
        <v>21.4</v>
      </c>
      <c r="F30" s="13">
        <v>7</v>
      </c>
      <c r="G30" s="13">
        <v>6.6</v>
      </c>
      <c r="H30" s="22">
        <f t="shared" si="0"/>
        <v>-5.7142857142857197E-2</v>
      </c>
      <c r="I30" s="13">
        <v>8.73</v>
      </c>
      <c r="J30" s="14">
        <v>0.24709999999999999</v>
      </c>
      <c r="K30" s="24">
        <f t="shared" ca="1" si="1"/>
        <v>48</v>
      </c>
    </row>
    <row r="31" spans="1:11" hidden="1" x14ac:dyDescent="0.25">
      <c r="A31" s="3" t="s">
        <v>73</v>
      </c>
      <c r="B31" s="4" t="s">
        <v>74</v>
      </c>
      <c r="C31" s="3" t="s">
        <v>41</v>
      </c>
      <c r="D31" s="5">
        <v>44132</v>
      </c>
      <c r="E31" s="6">
        <v>9.3000000000000007</v>
      </c>
      <c r="F31" s="7">
        <v>19</v>
      </c>
      <c r="G31" s="7">
        <v>31.86</v>
      </c>
      <c r="H31" s="22">
        <f t="shared" si="0"/>
        <v>0.67684210526315791</v>
      </c>
      <c r="I31" s="7">
        <v>33.979999999999997</v>
      </c>
      <c r="J31" s="8">
        <v>0.78839999999999999</v>
      </c>
      <c r="K31" s="24">
        <f t="shared" ca="1" si="1"/>
        <v>48</v>
      </c>
    </row>
    <row r="32" spans="1:11" hidden="1" x14ac:dyDescent="0.25">
      <c r="A32" s="9" t="s">
        <v>75</v>
      </c>
      <c r="B32" s="10" t="s">
        <v>76</v>
      </c>
      <c r="C32" s="9" t="s">
        <v>41</v>
      </c>
      <c r="D32" s="11">
        <v>44132</v>
      </c>
      <c r="E32" s="12">
        <v>26.8</v>
      </c>
      <c r="F32" s="13">
        <v>27</v>
      </c>
      <c r="G32" s="13">
        <v>27</v>
      </c>
      <c r="H32" s="22">
        <f t="shared" si="0"/>
        <v>0</v>
      </c>
      <c r="I32" s="13">
        <v>14.6</v>
      </c>
      <c r="J32" s="14">
        <v>-0.45929999999999999</v>
      </c>
      <c r="K32" s="24">
        <f t="shared" ca="1" si="1"/>
        <v>48</v>
      </c>
    </row>
    <row r="33" spans="1:11" ht="30" hidden="1" x14ac:dyDescent="0.25">
      <c r="A33" s="3" t="s">
        <v>77</v>
      </c>
      <c r="B33" s="4" t="s">
        <v>78</v>
      </c>
      <c r="C33" s="3" t="s">
        <v>12</v>
      </c>
      <c r="D33" s="5">
        <v>44127</v>
      </c>
      <c r="E33" s="6">
        <v>7.5</v>
      </c>
      <c r="F33" s="7">
        <v>16</v>
      </c>
      <c r="G33" s="7">
        <v>18.12</v>
      </c>
      <c r="H33" s="22">
        <f t="shared" si="0"/>
        <v>0.13250000000000006</v>
      </c>
      <c r="I33" s="7">
        <v>20</v>
      </c>
      <c r="J33" s="8">
        <v>0.25</v>
      </c>
      <c r="K33" s="24">
        <f t="shared" ca="1" si="1"/>
        <v>53</v>
      </c>
    </row>
    <row r="34" spans="1:11" hidden="1" x14ac:dyDescent="0.25">
      <c r="A34" s="9" t="s">
        <v>79</v>
      </c>
      <c r="B34" s="10" t="s">
        <v>80</v>
      </c>
      <c r="C34" s="9" t="s">
        <v>12</v>
      </c>
      <c r="D34" s="11">
        <v>44126</v>
      </c>
      <c r="E34" s="12">
        <v>9</v>
      </c>
      <c r="F34" s="13">
        <v>17.5</v>
      </c>
      <c r="G34" s="13">
        <v>19.75</v>
      </c>
      <c r="H34" s="22">
        <f t="shared" si="0"/>
        <v>0.12857142857142856</v>
      </c>
      <c r="I34" s="13">
        <v>19.57</v>
      </c>
      <c r="J34" s="14">
        <v>0.1183</v>
      </c>
      <c r="K34" s="24">
        <f t="shared" ca="1" si="1"/>
        <v>54</v>
      </c>
    </row>
    <row r="35" spans="1:11" ht="30" hidden="1" x14ac:dyDescent="0.25">
      <c r="A35" s="3" t="s">
        <v>81</v>
      </c>
      <c r="B35" s="4" t="s">
        <v>82</v>
      </c>
      <c r="C35" s="3" t="s">
        <v>83</v>
      </c>
      <c r="D35" s="5">
        <v>44126</v>
      </c>
      <c r="E35" s="6">
        <v>12.5</v>
      </c>
      <c r="F35" s="7">
        <v>10</v>
      </c>
      <c r="G35" s="7">
        <v>10.18</v>
      </c>
      <c r="H35" s="22">
        <f t="shared" si="0"/>
        <v>1.7999999999999971E-2</v>
      </c>
      <c r="I35" s="7">
        <v>10.79</v>
      </c>
      <c r="J35" s="8">
        <v>7.9000000000000001E-2</v>
      </c>
      <c r="K35" s="24">
        <f t="shared" ca="1" si="1"/>
        <v>54</v>
      </c>
    </row>
    <row r="36" spans="1:11" ht="30" hidden="1" x14ac:dyDescent="0.25">
      <c r="A36" s="9" t="s">
        <v>84</v>
      </c>
      <c r="B36" s="10" t="s">
        <v>85</v>
      </c>
      <c r="C36" s="9" t="s">
        <v>41</v>
      </c>
      <c r="D36" s="11">
        <v>44126</v>
      </c>
      <c r="E36" s="12">
        <v>6.5</v>
      </c>
      <c r="F36" s="13">
        <v>15</v>
      </c>
      <c r="G36" s="13">
        <v>15</v>
      </c>
      <c r="H36" s="22">
        <f t="shared" si="0"/>
        <v>0</v>
      </c>
      <c r="I36" s="13">
        <v>15.25</v>
      </c>
      <c r="J36" s="14">
        <v>1.67E-2</v>
      </c>
      <c r="K36" s="24">
        <f t="shared" ca="1" si="1"/>
        <v>54</v>
      </c>
    </row>
    <row r="37" spans="1:11" x14ac:dyDescent="0.25">
      <c r="A37" s="3" t="s">
        <v>86</v>
      </c>
      <c r="B37" s="4" t="s">
        <v>87</v>
      </c>
      <c r="C37" s="3" t="s">
        <v>17</v>
      </c>
      <c r="D37" s="5">
        <v>44126</v>
      </c>
      <c r="E37" s="6">
        <v>37</v>
      </c>
      <c r="F37" s="7">
        <v>20</v>
      </c>
      <c r="G37" s="7">
        <v>18.7</v>
      </c>
      <c r="H37" s="22">
        <f t="shared" si="0"/>
        <v>-6.500000000000003E-2</v>
      </c>
      <c r="I37" s="7">
        <v>15.4</v>
      </c>
      <c r="J37" s="8">
        <v>-0.23</v>
      </c>
      <c r="K37" s="24">
        <f t="shared" ca="1" si="1"/>
        <v>54</v>
      </c>
    </row>
    <row r="38" spans="1:11" x14ac:dyDescent="0.25">
      <c r="A38" s="9" t="s">
        <v>88</v>
      </c>
      <c r="B38" s="10" t="s">
        <v>89</v>
      </c>
      <c r="C38" s="9" t="s">
        <v>17</v>
      </c>
      <c r="D38" s="11">
        <v>44125</v>
      </c>
      <c r="E38" s="12">
        <v>22</v>
      </c>
      <c r="F38" s="13">
        <v>27</v>
      </c>
      <c r="G38" s="13">
        <v>27.1</v>
      </c>
      <c r="H38" s="22">
        <f t="shared" si="0"/>
        <v>3.7037037037037563E-3</v>
      </c>
      <c r="I38" s="13">
        <v>27.04</v>
      </c>
      <c r="J38" s="14">
        <v>1.5E-3</v>
      </c>
      <c r="K38" s="24">
        <f t="shared" ca="1" si="1"/>
        <v>55</v>
      </c>
    </row>
    <row r="39" spans="1:11" ht="30" hidden="1" x14ac:dyDescent="0.25">
      <c r="A39" s="3" t="s">
        <v>90</v>
      </c>
      <c r="B39" s="4" t="s">
        <v>91</v>
      </c>
      <c r="C39" s="3" t="s">
        <v>9</v>
      </c>
      <c r="D39" s="5">
        <v>44125</v>
      </c>
      <c r="E39" s="6">
        <v>3</v>
      </c>
      <c r="F39" s="7">
        <v>4</v>
      </c>
      <c r="G39" s="7">
        <v>4.25</v>
      </c>
      <c r="H39" s="22">
        <f t="shared" si="0"/>
        <v>6.25E-2</v>
      </c>
      <c r="I39" s="7">
        <v>3.93</v>
      </c>
      <c r="J39" s="8">
        <v>-1.7500000000000002E-2</v>
      </c>
      <c r="K39" s="24">
        <f t="shared" ca="1" si="1"/>
        <v>55</v>
      </c>
    </row>
    <row r="40" spans="1:11" ht="30" hidden="1" x14ac:dyDescent="0.25">
      <c r="A40" s="9" t="s">
        <v>92</v>
      </c>
      <c r="B40" s="10" t="s">
        <v>93</v>
      </c>
      <c r="C40" s="9" t="s">
        <v>83</v>
      </c>
      <c r="D40" s="11">
        <v>44124</v>
      </c>
      <c r="E40" s="12">
        <v>10</v>
      </c>
      <c r="F40" s="13">
        <v>10</v>
      </c>
      <c r="G40" s="13">
        <v>10.49</v>
      </c>
      <c r="H40" s="22">
        <f t="shared" si="0"/>
        <v>4.9000000000000023E-2</v>
      </c>
      <c r="I40" s="13">
        <v>11.08</v>
      </c>
      <c r="J40" s="14">
        <v>0.108</v>
      </c>
      <c r="K40" s="24">
        <f t="shared" ca="1" si="1"/>
        <v>56</v>
      </c>
    </row>
    <row r="41" spans="1:11" ht="30" hidden="1" x14ac:dyDescent="0.25">
      <c r="A41" s="3" t="s">
        <v>94</v>
      </c>
      <c r="B41" s="4" t="s">
        <v>95</v>
      </c>
      <c r="C41" s="3" t="s">
        <v>12</v>
      </c>
      <c r="D41" s="5">
        <v>44120</v>
      </c>
      <c r="E41" s="6">
        <v>10</v>
      </c>
      <c r="F41" s="7">
        <v>15</v>
      </c>
      <c r="G41" s="7">
        <v>14.85</v>
      </c>
      <c r="H41" s="22">
        <f t="shared" si="0"/>
        <v>-1.0000000000000024E-2</v>
      </c>
      <c r="I41" s="7">
        <v>23.8</v>
      </c>
      <c r="J41" s="8">
        <v>0.5867</v>
      </c>
      <c r="K41" s="24">
        <f t="shared" ca="1" si="1"/>
        <v>60</v>
      </c>
    </row>
    <row r="42" spans="1:11" hidden="1" x14ac:dyDescent="0.25">
      <c r="A42" s="9" t="s">
        <v>96</v>
      </c>
      <c r="B42" s="10" t="s">
        <v>97</v>
      </c>
      <c r="C42" s="9" t="s">
        <v>12</v>
      </c>
      <c r="D42" s="11">
        <v>44120</v>
      </c>
      <c r="E42" s="12">
        <v>7.9</v>
      </c>
      <c r="F42" s="13">
        <v>18</v>
      </c>
      <c r="G42" s="13">
        <v>33.68</v>
      </c>
      <c r="H42" s="22">
        <f t="shared" si="0"/>
        <v>0.87111111111111106</v>
      </c>
      <c r="I42" s="13">
        <v>47.47</v>
      </c>
      <c r="J42" s="14">
        <v>1.6372</v>
      </c>
      <c r="K42" s="24">
        <f t="shared" ca="1" si="1"/>
        <v>60</v>
      </c>
    </row>
    <row r="43" spans="1:11" hidden="1" x14ac:dyDescent="0.25">
      <c r="A43" s="3" t="s">
        <v>98</v>
      </c>
      <c r="B43" s="4" t="s">
        <v>99</v>
      </c>
      <c r="C43" s="3" t="s">
        <v>12</v>
      </c>
      <c r="D43" s="5">
        <v>44120</v>
      </c>
      <c r="E43" s="6">
        <v>1.3</v>
      </c>
      <c r="F43" s="7">
        <v>12</v>
      </c>
      <c r="G43" s="7">
        <v>11.5</v>
      </c>
      <c r="H43" s="22">
        <f t="shared" si="0"/>
        <v>-4.1666666666666664E-2</v>
      </c>
      <c r="I43" s="7">
        <v>9.77</v>
      </c>
      <c r="J43" s="8">
        <v>-0.18579999999999999</v>
      </c>
      <c r="K43" s="24">
        <f t="shared" ca="1" si="1"/>
        <v>60</v>
      </c>
    </row>
    <row r="44" spans="1:11" ht="30" hidden="1" x14ac:dyDescent="0.25">
      <c r="A44" s="9" t="s">
        <v>100</v>
      </c>
      <c r="B44" s="10" t="s">
        <v>101</v>
      </c>
      <c r="C44" s="9" t="s">
        <v>12</v>
      </c>
      <c r="D44" s="11">
        <v>44120</v>
      </c>
      <c r="E44" s="12">
        <v>10</v>
      </c>
      <c r="F44" s="13">
        <v>19</v>
      </c>
      <c r="G44" s="13">
        <v>27.8</v>
      </c>
      <c r="H44" s="22">
        <f t="shared" si="0"/>
        <v>0.46315789473684216</v>
      </c>
      <c r="I44" s="13">
        <v>42.35</v>
      </c>
      <c r="J44" s="14">
        <v>1.2289000000000001</v>
      </c>
      <c r="K44" s="24">
        <f t="shared" ca="1" si="1"/>
        <v>60</v>
      </c>
    </row>
    <row r="45" spans="1:11" ht="45" hidden="1" x14ac:dyDescent="0.25">
      <c r="A45" s="3" t="s">
        <v>102</v>
      </c>
      <c r="B45" s="4" t="s">
        <v>103</v>
      </c>
      <c r="C45" s="3" t="s">
        <v>12</v>
      </c>
      <c r="D45" s="5">
        <v>44120</v>
      </c>
      <c r="E45" s="6">
        <v>5.5</v>
      </c>
      <c r="F45" s="7">
        <v>16</v>
      </c>
      <c r="G45" s="7">
        <v>20.58</v>
      </c>
      <c r="H45" s="22">
        <f t="shared" si="0"/>
        <v>0.28624999999999989</v>
      </c>
      <c r="I45" s="7">
        <v>41.53</v>
      </c>
      <c r="J45" s="8">
        <v>1.5955999999999999</v>
      </c>
      <c r="K45" s="24">
        <f t="shared" ca="1" si="1"/>
        <v>60</v>
      </c>
    </row>
    <row r="46" spans="1:11" ht="45" hidden="1" x14ac:dyDescent="0.25">
      <c r="A46" s="9" t="s">
        <v>104</v>
      </c>
      <c r="B46" s="10" t="s">
        <v>105</v>
      </c>
      <c r="C46" s="9" t="s">
        <v>106</v>
      </c>
      <c r="D46" s="11">
        <v>44119</v>
      </c>
      <c r="E46" s="12">
        <v>47.5</v>
      </c>
      <c r="F46" s="13">
        <v>22</v>
      </c>
      <c r="G46" s="13">
        <v>36.450000000000003</v>
      </c>
      <c r="H46" s="22">
        <f t="shared" si="0"/>
        <v>0.65681818181818197</v>
      </c>
      <c r="I46" s="13">
        <v>36.950000000000003</v>
      </c>
      <c r="J46" s="14">
        <v>0.67949999999999999</v>
      </c>
      <c r="K46" s="24">
        <f t="shared" ca="1" si="1"/>
        <v>61</v>
      </c>
    </row>
    <row r="47" spans="1:11" ht="30" hidden="1" x14ac:dyDescent="0.25">
      <c r="A47" s="3" t="s">
        <v>107</v>
      </c>
      <c r="B47" s="4" t="s">
        <v>108</v>
      </c>
      <c r="C47" s="3" t="s">
        <v>24</v>
      </c>
      <c r="D47" s="5">
        <v>44119</v>
      </c>
      <c r="E47" s="6">
        <v>30.4</v>
      </c>
      <c r="F47" s="7">
        <v>20</v>
      </c>
      <c r="G47" s="7">
        <v>20.88</v>
      </c>
      <c r="H47" s="22">
        <f t="shared" si="0"/>
        <v>4.3999999999999949E-2</v>
      </c>
      <c r="I47" s="7">
        <v>22.17</v>
      </c>
      <c r="J47" s="8">
        <v>0.1085</v>
      </c>
      <c r="K47" s="24">
        <f t="shared" ca="1" si="1"/>
        <v>61</v>
      </c>
    </row>
    <row r="48" spans="1:11" ht="30" hidden="1" x14ac:dyDescent="0.25">
      <c r="A48" s="9" t="s">
        <v>109</v>
      </c>
      <c r="B48" s="10" t="s">
        <v>110</v>
      </c>
      <c r="C48" s="9" t="s">
        <v>12</v>
      </c>
      <c r="D48" s="11">
        <v>44118</v>
      </c>
      <c r="E48" s="12">
        <v>5.5</v>
      </c>
      <c r="F48" s="13">
        <v>15</v>
      </c>
      <c r="G48" s="13">
        <v>12.12</v>
      </c>
      <c r="H48" s="22">
        <f t="shared" si="0"/>
        <v>-0.19200000000000006</v>
      </c>
      <c r="I48" s="13">
        <v>15.56</v>
      </c>
      <c r="J48" s="14">
        <v>3.73E-2</v>
      </c>
      <c r="K48" s="24">
        <f t="shared" ca="1" si="1"/>
        <v>62</v>
      </c>
    </row>
    <row r="49" spans="1:11" hidden="1" x14ac:dyDescent="0.25">
      <c r="A49" s="3" t="s">
        <v>111</v>
      </c>
      <c r="B49" s="4" t="s">
        <v>112</v>
      </c>
      <c r="C49" s="3" t="s">
        <v>9</v>
      </c>
      <c r="D49" s="5">
        <v>44113</v>
      </c>
      <c r="E49" s="6">
        <v>7</v>
      </c>
      <c r="F49" s="7">
        <v>12</v>
      </c>
      <c r="G49" s="7">
        <v>16</v>
      </c>
      <c r="H49" s="22">
        <f t="shared" si="0"/>
        <v>0.33333333333333331</v>
      </c>
      <c r="I49" s="7">
        <v>21.21</v>
      </c>
      <c r="J49" s="8">
        <v>0.76749999999999996</v>
      </c>
      <c r="K49" s="24">
        <f t="shared" ca="1" si="1"/>
        <v>67</v>
      </c>
    </row>
    <row r="50" spans="1:11" hidden="1" x14ac:dyDescent="0.25">
      <c r="A50" s="9" t="s">
        <v>113</v>
      </c>
      <c r="B50" s="10" t="s">
        <v>114</v>
      </c>
      <c r="C50" s="9" t="s">
        <v>12</v>
      </c>
      <c r="D50" s="11">
        <v>44113</v>
      </c>
      <c r="E50" s="12">
        <v>13.2</v>
      </c>
      <c r="F50" s="13">
        <v>19</v>
      </c>
      <c r="G50" s="13">
        <v>27.07</v>
      </c>
      <c r="H50" s="22">
        <f t="shared" si="0"/>
        <v>0.42473684210526319</v>
      </c>
      <c r="I50" s="13">
        <v>29.56</v>
      </c>
      <c r="J50" s="14">
        <v>0.55579999999999996</v>
      </c>
      <c r="K50" s="24">
        <f t="shared" ca="1" si="1"/>
        <v>67</v>
      </c>
    </row>
    <row r="51" spans="1:11" ht="30" hidden="1" x14ac:dyDescent="0.25">
      <c r="A51" s="3" t="s">
        <v>115</v>
      </c>
      <c r="B51" s="4" t="s">
        <v>116</v>
      </c>
      <c r="C51" s="3" t="s">
        <v>12</v>
      </c>
      <c r="D51" s="5">
        <v>44113</v>
      </c>
      <c r="E51" s="6">
        <v>6</v>
      </c>
      <c r="F51" s="7">
        <v>15</v>
      </c>
      <c r="G51" s="7">
        <v>17</v>
      </c>
      <c r="H51" s="22">
        <f t="shared" si="0"/>
        <v>0.13333333333333333</v>
      </c>
      <c r="I51" s="7">
        <v>22.39</v>
      </c>
      <c r="J51" s="8">
        <v>0.49270000000000003</v>
      </c>
      <c r="K51" s="24">
        <f t="shared" ca="1" si="1"/>
        <v>67</v>
      </c>
    </row>
    <row r="52" spans="1:11" ht="30" hidden="1" x14ac:dyDescent="0.25">
      <c r="A52" s="9" t="s">
        <v>117</v>
      </c>
      <c r="B52" s="10" t="s">
        <v>118</v>
      </c>
      <c r="C52" s="9" t="s">
        <v>12</v>
      </c>
      <c r="D52" s="11">
        <v>44112</v>
      </c>
      <c r="E52" s="12">
        <v>2.9</v>
      </c>
      <c r="F52" s="13">
        <v>17</v>
      </c>
      <c r="G52" s="13">
        <v>14.5</v>
      </c>
      <c r="H52" s="22">
        <f t="shared" si="0"/>
        <v>-0.14705882352941177</v>
      </c>
      <c r="I52" s="13">
        <v>13.94</v>
      </c>
      <c r="J52" s="14">
        <v>-0.18</v>
      </c>
      <c r="K52" s="24">
        <f t="shared" ca="1" si="1"/>
        <v>68</v>
      </c>
    </row>
    <row r="53" spans="1:11" ht="45" hidden="1" x14ac:dyDescent="0.25">
      <c r="A53" s="3" t="s">
        <v>119</v>
      </c>
      <c r="B53" s="4" t="s">
        <v>120</v>
      </c>
      <c r="C53" s="3" t="s">
        <v>9</v>
      </c>
      <c r="D53" s="5">
        <v>44112</v>
      </c>
      <c r="E53" s="6">
        <v>18.3</v>
      </c>
      <c r="F53" s="7">
        <v>10</v>
      </c>
      <c r="G53" s="7">
        <v>10.58</v>
      </c>
      <c r="H53" s="22">
        <f t="shared" si="0"/>
        <v>5.800000000000001E-2</v>
      </c>
      <c r="I53" s="7">
        <v>27.15</v>
      </c>
      <c r="J53" s="8">
        <v>1.7150000000000001</v>
      </c>
      <c r="K53" s="24">
        <f t="shared" ca="1" si="1"/>
        <v>68</v>
      </c>
    </row>
    <row r="54" spans="1:11" ht="30" hidden="1" x14ac:dyDescent="0.25">
      <c r="A54" s="9" t="s">
        <v>121</v>
      </c>
      <c r="B54" s="10" t="s">
        <v>122</v>
      </c>
      <c r="C54" s="9" t="s">
        <v>41</v>
      </c>
      <c r="D54" s="11">
        <v>44111</v>
      </c>
      <c r="E54" s="12">
        <v>0.5</v>
      </c>
      <c r="F54" s="13">
        <v>5</v>
      </c>
      <c r="G54" s="13">
        <v>4.5999999999999996</v>
      </c>
      <c r="H54" s="22">
        <f t="shared" si="0"/>
        <v>-8.0000000000000071E-2</v>
      </c>
      <c r="I54" s="13">
        <v>2.87</v>
      </c>
      <c r="J54" s="14">
        <v>-0.42599999999999999</v>
      </c>
      <c r="K54" s="24">
        <f t="shared" ca="1" si="1"/>
        <v>69</v>
      </c>
    </row>
    <row r="55" spans="1:11" ht="30" hidden="1" x14ac:dyDescent="0.25">
      <c r="A55" s="3" t="s">
        <v>123</v>
      </c>
      <c r="B55" s="4" t="s">
        <v>124</v>
      </c>
      <c r="C55" s="3" t="s">
        <v>24</v>
      </c>
      <c r="D55" s="5">
        <v>44106</v>
      </c>
      <c r="E55" s="6">
        <v>15.6</v>
      </c>
      <c r="F55" s="7">
        <v>13</v>
      </c>
      <c r="G55" s="7">
        <v>12.99</v>
      </c>
      <c r="H55" s="22">
        <f t="shared" si="0"/>
        <v>-7.6923076923075286E-4</v>
      </c>
      <c r="I55" s="7">
        <v>18</v>
      </c>
      <c r="J55" s="8">
        <v>0.3846</v>
      </c>
      <c r="K55" s="24">
        <f t="shared" ca="1" si="1"/>
        <v>74</v>
      </c>
    </row>
    <row r="56" spans="1:11" ht="30" hidden="1" x14ac:dyDescent="0.25">
      <c r="A56" s="9" t="s">
        <v>125</v>
      </c>
      <c r="B56" s="10" t="s">
        <v>126</v>
      </c>
      <c r="C56" s="9" t="s">
        <v>12</v>
      </c>
      <c r="D56" s="11">
        <v>44106</v>
      </c>
      <c r="E56" s="12">
        <v>9.6</v>
      </c>
      <c r="F56" s="13">
        <v>19</v>
      </c>
      <c r="G56" s="13">
        <v>25.49</v>
      </c>
      <c r="H56" s="22">
        <f t="shared" si="0"/>
        <v>0.34157894736842098</v>
      </c>
      <c r="I56" s="13">
        <v>32.15</v>
      </c>
      <c r="J56" s="14">
        <v>0.69210000000000005</v>
      </c>
      <c r="K56" s="24">
        <f t="shared" ca="1" si="1"/>
        <v>74</v>
      </c>
    </row>
    <row r="57" spans="1:11" hidden="1" x14ac:dyDescent="0.25">
      <c r="A57" s="3" t="s">
        <v>127</v>
      </c>
      <c r="B57" s="4" t="s">
        <v>128</v>
      </c>
      <c r="C57" s="3" t="s">
        <v>12</v>
      </c>
      <c r="D57" s="5">
        <v>44106</v>
      </c>
      <c r="E57" s="6">
        <v>3.3</v>
      </c>
      <c r="F57" s="7">
        <v>12</v>
      </c>
      <c r="G57" s="7">
        <v>13.45</v>
      </c>
      <c r="H57" s="22">
        <f t="shared" si="0"/>
        <v>0.12083333333333328</v>
      </c>
      <c r="I57" s="7">
        <v>11.89</v>
      </c>
      <c r="J57" s="8">
        <v>-9.1999999999999998E-3</v>
      </c>
      <c r="K57" s="24">
        <f t="shared" ca="1" si="1"/>
        <v>74</v>
      </c>
    </row>
    <row r="58" spans="1:11" hidden="1" x14ac:dyDescent="0.25">
      <c r="A58" s="9" t="s">
        <v>129</v>
      </c>
      <c r="B58" s="10" t="s">
        <v>130</v>
      </c>
      <c r="C58" s="9" t="s">
        <v>12</v>
      </c>
      <c r="D58" s="11">
        <v>44106</v>
      </c>
      <c r="E58" s="12">
        <v>5.8</v>
      </c>
      <c r="F58" s="13">
        <v>15</v>
      </c>
      <c r="G58" s="13">
        <v>16</v>
      </c>
      <c r="H58" s="22">
        <f t="shared" si="0"/>
        <v>6.6666666666666666E-2</v>
      </c>
      <c r="I58" s="13">
        <v>28.07</v>
      </c>
      <c r="J58" s="14">
        <v>0.87129999999999996</v>
      </c>
      <c r="K58" s="24">
        <f t="shared" ca="1" si="1"/>
        <v>74</v>
      </c>
    </row>
    <row r="59" spans="1:11" ht="30" hidden="1" x14ac:dyDescent="0.25">
      <c r="A59" s="3" t="s">
        <v>131</v>
      </c>
      <c r="B59" s="4" t="s">
        <v>132</v>
      </c>
      <c r="C59" s="3" t="s">
        <v>9</v>
      </c>
      <c r="D59" s="5">
        <v>44105</v>
      </c>
      <c r="E59" s="6">
        <v>3.3</v>
      </c>
      <c r="F59" s="7">
        <v>9.25</v>
      </c>
      <c r="G59" s="7">
        <v>7.5</v>
      </c>
      <c r="H59" s="22">
        <f t="shared" si="0"/>
        <v>-0.1891891891891892</v>
      </c>
      <c r="I59" s="7">
        <v>9.2899999999999991</v>
      </c>
      <c r="J59" s="8">
        <v>4.3E-3</v>
      </c>
      <c r="K59" s="24">
        <f t="shared" ca="1" si="1"/>
        <v>75</v>
      </c>
    </row>
    <row r="60" spans="1:11" ht="30" hidden="1" x14ac:dyDescent="0.25">
      <c r="A60" s="9" t="s">
        <v>133</v>
      </c>
      <c r="B60" s="10" t="s">
        <v>134</v>
      </c>
      <c r="C60" s="9" t="s">
        <v>24</v>
      </c>
      <c r="D60" s="11">
        <v>44105</v>
      </c>
      <c r="E60" s="12">
        <v>8</v>
      </c>
      <c r="F60" s="13">
        <v>12</v>
      </c>
      <c r="G60" s="13">
        <v>13.8</v>
      </c>
      <c r="H60" s="22">
        <f t="shared" si="0"/>
        <v>0.15000000000000005</v>
      </c>
      <c r="I60" s="13">
        <v>13.41</v>
      </c>
      <c r="J60" s="14">
        <v>0.11749999999999999</v>
      </c>
      <c r="K60" s="24">
        <f t="shared" ca="1" si="1"/>
        <v>75</v>
      </c>
    </row>
    <row r="61" spans="1:11" hidden="1" x14ac:dyDescent="0.25">
      <c r="A61" s="3" t="s">
        <v>135</v>
      </c>
      <c r="B61" s="4" t="s">
        <v>136</v>
      </c>
      <c r="C61" s="3" t="s">
        <v>12</v>
      </c>
      <c r="D61" s="5">
        <v>44105</v>
      </c>
      <c r="E61" s="6">
        <v>10</v>
      </c>
      <c r="F61" s="7">
        <v>19</v>
      </c>
      <c r="G61" s="7">
        <v>39.31</v>
      </c>
      <c r="H61" s="22">
        <f t="shared" si="0"/>
        <v>1.0689473684210526</v>
      </c>
      <c r="I61" s="7">
        <v>46.57</v>
      </c>
      <c r="J61" s="8">
        <v>1.4511000000000001</v>
      </c>
      <c r="K61" s="24">
        <f t="shared" ca="1" si="1"/>
        <v>75</v>
      </c>
    </row>
    <row r="62" spans="1:11" hidden="1" x14ac:dyDescent="0.25">
      <c r="A62" s="9" t="s">
        <v>137</v>
      </c>
      <c r="B62" s="10" t="s">
        <v>138</v>
      </c>
      <c r="C62" s="9" t="s">
        <v>9</v>
      </c>
      <c r="D62" s="11">
        <v>44105</v>
      </c>
      <c r="E62" s="12">
        <v>26.7</v>
      </c>
      <c r="F62" s="13">
        <v>10.17</v>
      </c>
      <c r="G62" s="13">
        <v>11.08</v>
      </c>
      <c r="H62" s="22">
        <f t="shared" si="0"/>
        <v>8.9478859390363832E-2</v>
      </c>
      <c r="I62" s="13">
        <v>10.27</v>
      </c>
      <c r="J62" s="14">
        <v>9.7999999999999997E-3</v>
      </c>
      <c r="K62" s="24">
        <f t="shared" ca="1" si="1"/>
        <v>75</v>
      </c>
    </row>
    <row r="63" spans="1:11" ht="30" hidden="1" x14ac:dyDescent="0.25">
      <c r="A63" s="3" t="s">
        <v>139</v>
      </c>
      <c r="B63" s="4" t="s">
        <v>140</v>
      </c>
      <c r="C63" s="3" t="s">
        <v>24</v>
      </c>
      <c r="D63" s="5">
        <v>44104</v>
      </c>
      <c r="E63" s="6">
        <v>7</v>
      </c>
      <c r="F63" s="7">
        <v>10</v>
      </c>
      <c r="G63" s="7">
        <v>7.2</v>
      </c>
      <c r="H63" s="22">
        <f t="shared" si="0"/>
        <v>-0.27999999999999997</v>
      </c>
      <c r="I63" s="7">
        <v>4.68</v>
      </c>
      <c r="J63" s="8">
        <v>-0.53200000000000003</v>
      </c>
      <c r="K63" s="24">
        <f t="shared" ca="1" si="1"/>
        <v>76</v>
      </c>
    </row>
    <row r="64" spans="1:11" ht="30" x14ac:dyDescent="0.25">
      <c r="A64" s="9" t="s">
        <v>141</v>
      </c>
      <c r="B64" s="10" t="s">
        <v>142</v>
      </c>
      <c r="C64" s="9" t="s">
        <v>17</v>
      </c>
      <c r="D64" s="11">
        <v>44104</v>
      </c>
      <c r="E64" s="12">
        <v>40</v>
      </c>
      <c r="F64" s="13">
        <v>13.5</v>
      </c>
      <c r="G64" s="13">
        <v>16.23</v>
      </c>
      <c r="H64" s="22">
        <f t="shared" si="0"/>
        <v>0.20222222222222225</v>
      </c>
      <c r="I64" s="13">
        <v>18.71</v>
      </c>
      <c r="J64" s="14">
        <v>0.38590000000000002</v>
      </c>
      <c r="K64" s="24">
        <f t="shared" ca="1" si="1"/>
        <v>76</v>
      </c>
    </row>
    <row r="65" spans="1:11" ht="30" x14ac:dyDescent="0.25">
      <c r="A65" s="3" t="s">
        <v>143</v>
      </c>
      <c r="B65" s="4" t="s">
        <v>144</v>
      </c>
      <c r="C65" s="3" t="s">
        <v>17</v>
      </c>
      <c r="D65" s="5">
        <v>44104</v>
      </c>
      <c r="E65" s="6">
        <v>257.10000000000002</v>
      </c>
      <c r="F65" s="7">
        <v>7.25</v>
      </c>
      <c r="G65" s="7">
        <v>9.5</v>
      </c>
      <c r="H65" s="22">
        <f t="shared" si="0"/>
        <v>0.31034482758620691</v>
      </c>
      <c r="I65" s="7">
        <v>27.24</v>
      </c>
      <c r="J65" s="8">
        <v>2.7572000000000001</v>
      </c>
      <c r="K65" s="24">
        <f t="shared" ca="1" si="1"/>
        <v>76</v>
      </c>
    </row>
    <row r="66" spans="1:11" x14ac:dyDescent="0.25">
      <c r="A66" s="9" t="s">
        <v>145</v>
      </c>
      <c r="B66" s="10" t="s">
        <v>146</v>
      </c>
      <c r="C66" s="9" t="s">
        <v>17</v>
      </c>
      <c r="D66" s="11">
        <v>44104</v>
      </c>
      <c r="E66" s="12">
        <v>18.600000000000001</v>
      </c>
      <c r="F66" s="13">
        <v>7.5</v>
      </c>
      <c r="G66" s="13">
        <v>7</v>
      </c>
      <c r="H66" s="22">
        <f t="shared" ref="H66:H129" si="2">((G66-F66)/F66)</f>
        <v>-6.6666666666666666E-2</v>
      </c>
      <c r="I66" s="13">
        <v>18.670000000000002</v>
      </c>
      <c r="J66" s="14">
        <v>1.4893000000000001</v>
      </c>
      <c r="K66" s="24">
        <f t="shared" ca="1" si="1"/>
        <v>76</v>
      </c>
    </row>
    <row r="67" spans="1:11" hidden="1" x14ac:dyDescent="0.25">
      <c r="A67" s="3" t="s">
        <v>147</v>
      </c>
      <c r="B67" s="4" t="s">
        <v>148</v>
      </c>
      <c r="C67" s="3" t="s">
        <v>12</v>
      </c>
      <c r="D67" s="5">
        <v>44103</v>
      </c>
      <c r="E67" s="6">
        <v>7.6</v>
      </c>
      <c r="F67" s="7">
        <v>11</v>
      </c>
      <c r="G67" s="7">
        <v>9.7100000000000009</v>
      </c>
      <c r="H67" s="22">
        <f t="shared" si="2"/>
        <v>-0.1172727272727272</v>
      </c>
      <c r="I67" s="7">
        <v>9.42</v>
      </c>
      <c r="J67" s="8">
        <v>-0.14360000000000001</v>
      </c>
      <c r="K67" s="24">
        <f t="shared" ref="K67:K130" ca="1" si="3">TODAY()-D67</f>
        <v>77</v>
      </c>
    </row>
    <row r="68" spans="1:11" x14ac:dyDescent="0.25">
      <c r="A68" s="9" t="s">
        <v>149</v>
      </c>
      <c r="B68" s="10" t="s">
        <v>150</v>
      </c>
      <c r="C68" s="9" t="s">
        <v>17</v>
      </c>
      <c r="D68" s="11">
        <v>44099</v>
      </c>
      <c r="E68" s="12">
        <v>3</v>
      </c>
      <c r="F68" s="13">
        <v>5</v>
      </c>
      <c r="G68" s="13">
        <v>5.22</v>
      </c>
      <c r="H68" s="22">
        <f t="shared" si="2"/>
        <v>4.3999999999999949E-2</v>
      </c>
      <c r="I68" s="13">
        <v>4.74</v>
      </c>
      <c r="J68" s="14">
        <v>-5.1999999999999998E-2</v>
      </c>
      <c r="K68" s="24">
        <f t="shared" ca="1" si="3"/>
        <v>81</v>
      </c>
    </row>
    <row r="69" spans="1:11" hidden="1" x14ac:dyDescent="0.25">
      <c r="A69" s="3" t="s">
        <v>151</v>
      </c>
      <c r="B69" s="4" t="s">
        <v>152</v>
      </c>
      <c r="C69" s="3" t="s">
        <v>12</v>
      </c>
      <c r="D69" s="5">
        <v>44099</v>
      </c>
      <c r="E69" s="6">
        <v>5.6</v>
      </c>
      <c r="F69" s="7">
        <v>16</v>
      </c>
      <c r="G69" s="7">
        <v>16.5</v>
      </c>
      <c r="H69" s="22">
        <f t="shared" si="2"/>
        <v>3.125E-2</v>
      </c>
      <c r="I69" s="7">
        <v>22.81</v>
      </c>
      <c r="J69" s="8">
        <v>0.42559999999999998</v>
      </c>
      <c r="K69" s="24">
        <f t="shared" ca="1" si="3"/>
        <v>81</v>
      </c>
    </row>
    <row r="70" spans="1:11" ht="30" hidden="1" x14ac:dyDescent="0.25">
      <c r="A70" s="9" t="s">
        <v>153</v>
      </c>
      <c r="B70" s="10" t="s">
        <v>154</v>
      </c>
      <c r="C70" s="9" t="s">
        <v>12</v>
      </c>
      <c r="D70" s="11">
        <v>44099</v>
      </c>
      <c r="E70" s="12">
        <v>1.3</v>
      </c>
      <c r="F70" s="13">
        <v>5.75</v>
      </c>
      <c r="G70" s="13">
        <v>5</v>
      </c>
      <c r="H70" s="22">
        <f t="shared" si="2"/>
        <v>-0.13043478260869565</v>
      </c>
      <c r="I70" s="13">
        <v>46.8</v>
      </c>
      <c r="J70" s="14">
        <v>7.1391</v>
      </c>
      <c r="K70" s="24">
        <f t="shared" ca="1" si="3"/>
        <v>81</v>
      </c>
    </row>
    <row r="71" spans="1:11" ht="30" hidden="1" x14ac:dyDescent="0.25">
      <c r="A71" s="3" t="s">
        <v>155</v>
      </c>
      <c r="B71" s="4" t="s">
        <v>156</v>
      </c>
      <c r="C71" s="3" t="s">
        <v>12</v>
      </c>
      <c r="D71" s="5">
        <v>44099</v>
      </c>
      <c r="E71" s="6">
        <v>11.8</v>
      </c>
      <c r="F71" s="7">
        <v>18</v>
      </c>
      <c r="G71" s="7">
        <v>37.51</v>
      </c>
      <c r="H71" s="22">
        <f t="shared" si="2"/>
        <v>1.0838888888888887</v>
      </c>
      <c r="I71" s="7">
        <v>45.23</v>
      </c>
      <c r="J71" s="8">
        <v>1.5127999999999999</v>
      </c>
      <c r="K71" s="24">
        <f t="shared" ca="1" si="3"/>
        <v>81</v>
      </c>
    </row>
    <row r="72" spans="1:11" ht="30" hidden="1" x14ac:dyDescent="0.25">
      <c r="A72" s="9" t="s">
        <v>157</v>
      </c>
      <c r="B72" s="10" t="s">
        <v>158</v>
      </c>
      <c r="C72" s="9" t="s">
        <v>12</v>
      </c>
      <c r="D72" s="11">
        <v>44099</v>
      </c>
      <c r="E72" s="12">
        <v>8.3000000000000007</v>
      </c>
      <c r="F72" s="13">
        <v>19</v>
      </c>
      <c r="G72" s="13">
        <v>26.2</v>
      </c>
      <c r="H72" s="22">
        <f t="shared" si="2"/>
        <v>0.37894736842105259</v>
      </c>
      <c r="I72" s="13">
        <v>72.67</v>
      </c>
      <c r="J72" s="14">
        <v>2.8247</v>
      </c>
      <c r="K72" s="24">
        <f t="shared" ca="1" si="3"/>
        <v>81</v>
      </c>
    </row>
    <row r="73" spans="1:11" x14ac:dyDescent="0.25">
      <c r="A73" s="3" t="s">
        <v>159</v>
      </c>
      <c r="B73" s="4" t="s">
        <v>160</v>
      </c>
      <c r="C73" s="3" t="s">
        <v>17</v>
      </c>
      <c r="D73" s="5">
        <v>44099</v>
      </c>
      <c r="E73" s="6">
        <v>6.3</v>
      </c>
      <c r="F73" s="7">
        <v>15</v>
      </c>
      <c r="G73" s="7">
        <v>10.18</v>
      </c>
      <c r="H73" s="22">
        <f t="shared" si="2"/>
        <v>-0.32133333333333336</v>
      </c>
      <c r="I73" s="7">
        <v>12.25</v>
      </c>
      <c r="J73" s="8">
        <v>-0.18329999999999999</v>
      </c>
      <c r="K73" s="24">
        <f t="shared" ca="1" si="3"/>
        <v>81</v>
      </c>
    </row>
    <row r="74" spans="1:11" ht="30" hidden="1" x14ac:dyDescent="0.25">
      <c r="A74" s="9" t="s">
        <v>161</v>
      </c>
      <c r="B74" s="10" t="s">
        <v>162</v>
      </c>
      <c r="C74" s="9" t="s">
        <v>12</v>
      </c>
      <c r="D74" s="11">
        <v>44098</v>
      </c>
      <c r="E74" s="12">
        <v>7.9</v>
      </c>
      <c r="F74" s="13">
        <v>20</v>
      </c>
      <c r="G74" s="13">
        <v>24.06</v>
      </c>
      <c r="H74" s="22">
        <f t="shared" si="2"/>
        <v>0.20299999999999993</v>
      </c>
      <c r="I74" s="13">
        <v>21.15</v>
      </c>
      <c r="J74" s="14">
        <v>5.7500000000000002E-2</v>
      </c>
      <c r="K74" s="24">
        <f t="shared" ca="1" si="3"/>
        <v>82</v>
      </c>
    </row>
    <row r="75" spans="1:11" x14ac:dyDescent="0.25">
      <c r="A75" s="3" t="s">
        <v>163</v>
      </c>
      <c r="B75" s="4" t="s">
        <v>164</v>
      </c>
      <c r="C75" s="3" t="s">
        <v>17</v>
      </c>
      <c r="D75" s="5">
        <v>44097</v>
      </c>
      <c r="E75" s="6">
        <v>10.8</v>
      </c>
      <c r="F75" s="7">
        <v>22</v>
      </c>
      <c r="G75" s="7">
        <v>33.49</v>
      </c>
      <c r="H75" s="22">
        <f t="shared" si="2"/>
        <v>0.52227272727272733</v>
      </c>
      <c r="I75" s="7">
        <v>36.25</v>
      </c>
      <c r="J75" s="8">
        <v>0.64770000000000005</v>
      </c>
      <c r="K75" s="24">
        <f t="shared" ca="1" si="3"/>
        <v>83</v>
      </c>
    </row>
    <row r="76" spans="1:11" x14ac:dyDescent="0.25">
      <c r="A76" s="9" t="s">
        <v>165</v>
      </c>
      <c r="B76" s="10" t="s">
        <v>166</v>
      </c>
      <c r="C76" s="9" t="s">
        <v>17</v>
      </c>
      <c r="D76" s="11">
        <v>44097</v>
      </c>
      <c r="E76" s="12">
        <v>14</v>
      </c>
      <c r="F76" s="13">
        <v>17</v>
      </c>
      <c r="G76" s="13">
        <v>14.25</v>
      </c>
      <c r="H76" s="22">
        <f t="shared" si="2"/>
        <v>-0.16176470588235295</v>
      </c>
      <c r="I76" s="13">
        <v>35.909999999999997</v>
      </c>
      <c r="J76" s="14">
        <v>1.1124000000000001</v>
      </c>
      <c r="K76" s="24">
        <f t="shared" ca="1" si="3"/>
        <v>83</v>
      </c>
    </row>
    <row r="77" spans="1:11" x14ac:dyDescent="0.25">
      <c r="A77" s="3" t="s">
        <v>167</v>
      </c>
      <c r="B77" s="4" t="s">
        <v>168</v>
      </c>
      <c r="C77" s="3" t="s">
        <v>17</v>
      </c>
      <c r="D77" s="5">
        <v>44097</v>
      </c>
      <c r="E77" s="6">
        <v>34.6</v>
      </c>
      <c r="F77" s="7">
        <v>33</v>
      </c>
      <c r="G77" s="7">
        <v>50.5</v>
      </c>
      <c r="H77" s="22">
        <f t="shared" si="2"/>
        <v>0.53030303030303028</v>
      </c>
      <c r="I77" s="7">
        <v>45.01</v>
      </c>
      <c r="J77" s="8">
        <v>0.3639</v>
      </c>
      <c r="K77" s="24">
        <f t="shared" ca="1" si="3"/>
        <v>83</v>
      </c>
    </row>
    <row r="78" spans="1:11" ht="30" hidden="1" x14ac:dyDescent="0.25">
      <c r="A78" s="9" t="s">
        <v>169</v>
      </c>
      <c r="B78" s="10" t="s">
        <v>170</v>
      </c>
      <c r="C78" s="9" t="s">
        <v>24</v>
      </c>
      <c r="D78" s="11">
        <v>44097</v>
      </c>
      <c r="E78" s="12">
        <v>2.7</v>
      </c>
      <c r="F78" s="13">
        <v>22</v>
      </c>
      <c r="G78" s="13">
        <v>40.799999999999997</v>
      </c>
      <c r="H78" s="22">
        <f t="shared" si="2"/>
        <v>0.85454545454545439</v>
      </c>
      <c r="I78" s="13">
        <v>43.52</v>
      </c>
      <c r="J78" s="14">
        <v>0.97819999999999996</v>
      </c>
      <c r="K78" s="24">
        <f t="shared" ca="1" si="3"/>
        <v>83</v>
      </c>
    </row>
    <row r="79" spans="1:11" hidden="1" x14ac:dyDescent="0.25">
      <c r="A79" s="3" t="s">
        <v>171</v>
      </c>
      <c r="B79" s="4" t="s">
        <v>172</v>
      </c>
      <c r="C79" s="3" t="s">
        <v>12</v>
      </c>
      <c r="D79" s="5">
        <v>44092</v>
      </c>
      <c r="E79" s="6">
        <v>12</v>
      </c>
      <c r="F79" s="7">
        <v>17</v>
      </c>
      <c r="G79" s="7">
        <v>17.11</v>
      </c>
      <c r="H79" s="22">
        <f t="shared" si="2"/>
        <v>6.4705882352940839E-3</v>
      </c>
      <c r="I79" s="7">
        <v>30.12</v>
      </c>
      <c r="J79" s="8">
        <v>0.77180000000000004</v>
      </c>
      <c r="K79" s="24">
        <f t="shared" ca="1" si="3"/>
        <v>88</v>
      </c>
    </row>
    <row r="80" spans="1:11" ht="30" hidden="1" x14ac:dyDescent="0.25">
      <c r="A80" s="9" t="s">
        <v>173</v>
      </c>
      <c r="B80" s="10" t="s">
        <v>174</v>
      </c>
      <c r="C80" s="9" t="s">
        <v>12</v>
      </c>
      <c r="D80" s="11">
        <v>44092</v>
      </c>
      <c r="E80" s="12">
        <v>7.5</v>
      </c>
      <c r="F80" s="13">
        <v>17</v>
      </c>
      <c r="G80" s="13">
        <v>29</v>
      </c>
      <c r="H80" s="22">
        <f t="shared" si="2"/>
        <v>0.70588235294117652</v>
      </c>
      <c r="I80" s="13">
        <v>55.16</v>
      </c>
      <c r="J80" s="14">
        <v>2.2446999999999999</v>
      </c>
      <c r="K80" s="24">
        <f t="shared" ca="1" si="3"/>
        <v>88</v>
      </c>
    </row>
    <row r="81" spans="1:11" x14ac:dyDescent="0.25">
      <c r="A81" s="3" t="s">
        <v>175</v>
      </c>
      <c r="B81" s="4" t="s">
        <v>176</v>
      </c>
      <c r="C81" s="3" t="s">
        <v>17</v>
      </c>
      <c r="D81" s="5">
        <v>44092</v>
      </c>
      <c r="E81" s="6">
        <v>25</v>
      </c>
      <c r="F81" s="7">
        <v>52</v>
      </c>
      <c r="G81" s="7">
        <v>68.349999999999994</v>
      </c>
      <c r="H81" s="22">
        <f t="shared" si="2"/>
        <v>0.31442307692307681</v>
      </c>
      <c r="I81" s="7">
        <v>146.72</v>
      </c>
      <c r="J81" s="8">
        <v>1.8214999999999999</v>
      </c>
      <c r="K81" s="24">
        <f t="shared" ca="1" si="3"/>
        <v>88</v>
      </c>
    </row>
    <row r="82" spans="1:11" hidden="1" x14ac:dyDescent="0.25">
      <c r="A82" s="9" t="s">
        <v>177</v>
      </c>
      <c r="B82" s="10" t="s">
        <v>178</v>
      </c>
      <c r="C82" s="9" t="s">
        <v>9</v>
      </c>
      <c r="D82" s="11">
        <v>44092</v>
      </c>
      <c r="E82" s="12">
        <v>6</v>
      </c>
      <c r="F82" s="13">
        <v>16</v>
      </c>
      <c r="G82" s="13">
        <v>16</v>
      </c>
      <c r="H82" s="22">
        <f t="shared" si="2"/>
        <v>0</v>
      </c>
      <c r="I82" s="13">
        <v>14.17</v>
      </c>
      <c r="J82" s="14">
        <v>-0.1144</v>
      </c>
      <c r="K82" s="24">
        <f t="shared" ca="1" si="3"/>
        <v>88</v>
      </c>
    </row>
    <row r="83" spans="1:11" ht="30" hidden="1" x14ac:dyDescent="0.25">
      <c r="A83" s="3" t="s">
        <v>179</v>
      </c>
      <c r="B83" s="4" t="s">
        <v>180</v>
      </c>
      <c r="C83" s="3" t="s">
        <v>12</v>
      </c>
      <c r="D83" s="5">
        <v>44091</v>
      </c>
      <c r="E83" s="6">
        <v>41.2</v>
      </c>
      <c r="F83" s="7">
        <v>18</v>
      </c>
      <c r="G83" s="7">
        <v>23.95</v>
      </c>
      <c r="H83" s="22">
        <f t="shared" si="2"/>
        <v>0.33055555555555549</v>
      </c>
      <c r="I83" s="7">
        <v>33.18</v>
      </c>
      <c r="J83" s="8">
        <v>0.84330000000000005</v>
      </c>
      <c r="K83" s="24">
        <f t="shared" ca="1" si="3"/>
        <v>89</v>
      </c>
    </row>
    <row r="84" spans="1:11" ht="30" hidden="1" x14ac:dyDescent="0.25">
      <c r="A84" s="9" t="s">
        <v>181</v>
      </c>
      <c r="B84" s="10" t="s">
        <v>182</v>
      </c>
      <c r="C84" s="9" t="s">
        <v>41</v>
      </c>
      <c r="D84" s="11">
        <v>44091</v>
      </c>
      <c r="E84" s="12">
        <v>33.5</v>
      </c>
      <c r="F84" s="13">
        <v>17</v>
      </c>
      <c r="G84" s="13">
        <v>16.11</v>
      </c>
      <c r="H84" s="22">
        <f t="shared" si="2"/>
        <v>-5.2352941176470623E-2</v>
      </c>
      <c r="I84" s="13">
        <v>18.62</v>
      </c>
      <c r="J84" s="14">
        <v>9.5299999999999996E-2</v>
      </c>
      <c r="K84" s="24">
        <f t="shared" ca="1" si="3"/>
        <v>89</v>
      </c>
    </row>
    <row r="85" spans="1:11" hidden="1" x14ac:dyDescent="0.25">
      <c r="A85" s="3" t="s">
        <v>183</v>
      </c>
      <c r="B85" s="4" t="s">
        <v>184</v>
      </c>
      <c r="C85" s="3" t="s">
        <v>24</v>
      </c>
      <c r="D85" s="5">
        <v>44091</v>
      </c>
      <c r="E85" s="6">
        <v>41</v>
      </c>
      <c r="F85" s="7">
        <v>14</v>
      </c>
      <c r="G85" s="7">
        <v>10.93</v>
      </c>
      <c r="H85" s="22">
        <f t="shared" si="2"/>
        <v>-0.21928571428571431</v>
      </c>
      <c r="I85" s="7">
        <v>18.29</v>
      </c>
      <c r="J85" s="8">
        <v>0.30640000000000001</v>
      </c>
      <c r="K85" s="24">
        <f t="shared" ca="1" si="3"/>
        <v>89</v>
      </c>
    </row>
    <row r="86" spans="1:11" x14ac:dyDescent="0.25">
      <c r="A86" s="9" t="s">
        <v>185</v>
      </c>
      <c r="B86" s="10" t="s">
        <v>186</v>
      </c>
      <c r="C86" s="9" t="s">
        <v>17</v>
      </c>
      <c r="D86" s="11">
        <v>44091</v>
      </c>
      <c r="E86" s="12">
        <v>14.8</v>
      </c>
      <c r="F86" s="13">
        <v>22</v>
      </c>
      <c r="G86" s="13">
        <v>26.88</v>
      </c>
      <c r="H86" s="22">
        <f t="shared" si="2"/>
        <v>0.22181818181818178</v>
      </c>
      <c r="I86" s="13">
        <v>25.8</v>
      </c>
      <c r="J86" s="14">
        <v>0.17269999999999999</v>
      </c>
      <c r="K86" s="24">
        <f t="shared" ca="1" si="3"/>
        <v>89</v>
      </c>
    </row>
    <row r="87" spans="1:11" hidden="1" x14ac:dyDescent="0.25">
      <c r="A87" s="3" t="s">
        <v>187</v>
      </c>
      <c r="B87" s="4" t="s">
        <v>188</v>
      </c>
      <c r="C87" s="3" t="s">
        <v>24</v>
      </c>
      <c r="D87" s="5">
        <v>44074</v>
      </c>
      <c r="E87" s="6">
        <v>1</v>
      </c>
      <c r="F87" s="7">
        <v>5</v>
      </c>
      <c r="G87" s="7">
        <v>11.6</v>
      </c>
      <c r="H87" s="22">
        <f t="shared" si="2"/>
        <v>1.3199999999999998</v>
      </c>
      <c r="I87" s="7">
        <v>5.04</v>
      </c>
      <c r="J87" s="8">
        <v>8.0000000000000002E-3</v>
      </c>
      <c r="K87" s="24">
        <f t="shared" ca="1" si="3"/>
        <v>106</v>
      </c>
    </row>
    <row r="88" spans="1:11" ht="30" hidden="1" x14ac:dyDescent="0.25">
      <c r="A88" s="9" t="s">
        <v>189</v>
      </c>
      <c r="B88" s="10" t="s">
        <v>190</v>
      </c>
      <c r="C88" s="9" t="s">
        <v>41</v>
      </c>
      <c r="D88" s="11">
        <v>44071</v>
      </c>
      <c r="E88" s="12">
        <v>1.8</v>
      </c>
      <c r="F88" s="13">
        <v>6</v>
      </c>
      <c r="G88" s="13">
        <v>7.5</v>
      </c>
      <c r="H88" s="22">
        <f t="shared" si="2"/>
        <v>0.25</v>
      </c>
      <c r="I88" s="13">
        <v>5.22</v>
      </c>
      <c r="J88" s="14">
        <v>-0.13</v>
      </c>
      <c r="K88" s="24">
        <f t="shared" ca="1" si="3"/>
        <v>109</v>
      </c>
    </row>
    <row r="89" spans="1:11" hidden="1" x14ac:dyDescent="0.25">
      <c r="A89" s="3" t="s">
        <v>191</v>
      </c>
      <c r="B89" s="4" t="s">
        <v>192</v>
      </c>
      <c r="C89" s="3" t="s">
        <v>24</v>
      </c>
      <c r="D89" s="5">
        <v>44070</v>
      </c>
      <c r="E89" s="6">
        <v>99.7</v>
      </c>
      <c r="F89" s="7">
        <v>15</v>
      </c>
      <c r="G89" s="7">
        <v>21.22</v>
      </c>
      <c r="H89" s="22">
        <f t="shared" si="2"/>
        <v>0.41466666666666657</v>
      </c>
      <c r="I89" s="7">
        <v>47.17</v>
      </c>
      <c r="J89" s="8">
        <v>2.1446999999999998</v>
      </c>
      <c r="K89" s="24">
        <f t="shared" ca="1" si="3"/>
        <v>110</v>
      </c>
    </row>
    <row r="90" spans="1:11" ht="30" hidden="1" x14ac:dyDescent="0.25">
      <c r="A90" s="9" t="s">
        <v>193</v>
      </c>
      <c r="B90" s="10" t="s">
        <v>194</v>
      </c>
      <c r="C90" s="9" t="s">
        <v>12</v>
      </c>
      <c r="D90" s="11">
        <v>44064</v>
      </c>
      <c r="E90" s="12">
        <v>8.6999999999999993</v>
      </c>
      <c r="F90" s="13">
        <v>20</v>
      </c>
      <c r="G90" s="13">
        <v>33.26</v>
      </c>
      <c r="H90" s="22">
        <f t="shared" si="2"/>
        <v>0.66299999999999992</v>
      </c>
      <c r="I90" s="13">
        <v>67.13</v>
      </c>
      <c r="J90" s="14">
        <v>2.3565</v>
      </c>
      <c r="K90" s="24">
        <f t="shared" ca="1" si="3"/>
        <v>116</v>
      </c>
    </row>
    <row r="91" spans="1:11" ht="30" hidden="1" x14ac:dyDescent="0.25">
      <c r="A91" s="3" t="s">
        <v>195</v>
      </c>
      <c r="B91" s="4" t="s">
        <v>196</v>
      </c>
      <c r="C91" s="3" t="s">
        <v>12</v>
      </c>
      <c r="D91" s="5">
        <v>44064</v>
      </c>
      <c r="E91" s="6">
        <v>9.1999999999999993</v>
      </c>
      <c r="F91" s="7">
        <v>18</v>
      </c>
      <c r="G91" s="7">
        <v>21.7</v>
      </c>
      <c r="H91" s="22">
        <f t="shared" si="2"/>
        <v>0.20555555555555552</v>
      </c>
      <c r="I91" s="7">
        <v>44.63</v>
      </c>
      <c r="J91" s="8">
        <v>1.4794</v>
      </c>
      <c r="K91" s="24">
        <f t="shared" ca="1" si="3"/>
        <v>116</v>
      </c>
    </row>
    <row r="92" spans="1:11" ht="45" hidden="1" x14ac:dyDescent="0.25">
      <c r="A92" s="9" t="s">
        <v>197</v>
      </c>
      <c r="B92" s="10" t="s">
        <v>198</v>
      </c>
      <c r="C92" s="9" t="s">
        <v>12</v>
      </c>
      <c r="D92" s="11">
        <v>44062</v>
      </c>
      <c r="E92" s="12">
        <v>5.4</v>
      </c>
      <c r="F92" s="13">
        <v>24</v>
      </c>
      <c r="G92" s="13">
        <v>37.01</v>
      </c>
      <c r="H92" s="22">
        <f t="shared" si="2"/>
        <v>0.54208333333333325</v>
      </c>
      <c r="I92" s="13">
        <v>40.85</v>
      </c>
      <c r="J92" s="14">
        <v>0.70209999999999995</v>
      </c>
      <c r="K92" s="24">
        <f t="shared" ca="1" si="3"/>
        <v>118</v>
      </c>
    </row>
    <row r="93" spans="1:11" hidden="1" x14ac:dyDescent="0.25">
      <c r="A93" s="3" t="s">
        <v>199</v>
      </c>
      <c r="B93" s="4" t="s">
        <v>200</v>
      </c>
      <c r="C93" s="3" t="s">
        <v>12</v>
      </c>
      <c r="D93" s="5">
        <v>44062</v>
      </c>
      <c r="E93" s="6">
        <v>7</v>
      </c>
      <c r="F93" s="7">
        <v>17</v>
      </c>
      <c r="G93" s="7">
        <v>20.63</v>
      </c>
      <c r="H93" s="22">
        <f t="shared" si="2"/>
        <v>0.21352941176470583</v>
      </c>
      <c r="I93" s="7">
        <v>41.36</v>
      </c>
      <c r="J93" s="8">
        <v>1.4329000000000001</v>
      </c>
      <c r="K93" s="24">
        <f t="shared" ca="1" si="3"/>
        <v>118</v>
      </c>
    </row>
    <row r="94" spans="1:11" hidden="1" x14ac:dyDescent="0.25">
      <c r="A94" s="9" t="s">
        <v>201</v>
      </c>
      <c r="B94" s="10" t="s">
        <v>202</v>
      </c>
      <c r="C94" s="9" t="s">
        <v>12</v>
      </c>
      <c r="D94" s="11">
        <v>44057</v>
      </c>
      <c r="E94" s="12">
        <v>13.3</v>
      </c>
      <c r="F94" s="13">
        <v>16</v>
      </c>
      <c r="G94" s="13">
        <v>55.9</v>
      </c>
      <c r="H94" s="22">
        <f t="shared" si="2"/>
        <v>2.4937499999999999</v>
      </c>
      <c r="I94" s="13">
        <v>121.06</v>
      </c>
      <c r="J94" s="14">
        <v>6.5663</v>
      </c>
      <c r="K94" s="24">
        <f t="shared" ca="1" si="3"/>
        <v>123</v>
      </c>
    </row>
    <row r="95" spans="1:11" ht="30" x14ac:dyDescent="0.25">
      <c r="A95" s="3" t="s">
        <v>203</v>
      </c>
      <c r="B95" s="4" t="s">
        <v>204</v>
      </c>
      <c r="C95" s="3" t="s">
        <v>17</v>
      </c>
      <c r="D95" s="5">
        <v>44057</v>
      </c>
      <c r="E95" s="6">
        <v>15</v>
      </c>
      <c r="F95" s="7">
        <v>27</v>
      </c>
      <c r="G95" s="7">
        <v>40</v>
      </c>
      <c r="H95" s="22">
        <f t="shared" si="2"/>
        <v>0.48148148148148145</v>
      </c>
      <c r="I95" s="7">
        <v>40.81</v>
      </c>
      <c r="J95" s="8">
        <v>0.51149999999999995</v>
      </c>
      <c r="K95" s="24">
        <f t="shared" ca="1" si="3"/>
        <v>123</v>
      </c>
    </row>
    <row r="96" spans="1:11" hidden="1" x14ac:dyDescent="0.25">
      <c r="A96" s="9" t="s">
        <v>205</v>
      </c>
      <c r="B96" s="10" t="s">
        <v>206</v>
      </c>
      <c r="C96" s="9" t="s">
        <v>41</v>
      </c>
      <c r="D96" s="11">
        <v>44056</v>
      </c>
      <c r="E96" s="12">
        <v>12.5</v>
      </c>
      <c r="F96" s="13">
        <v>18</v>
      </c>
      <c r="G96" s="13">
        <v>17.75</v>
      </c>
      <c r="H96" s="22">
        <f t="shared" si="2"/>
        <v>-1.3888888888888888E-2</v>
      </c>
      <c r="I96" s="13">
        <v>18.23</v>
      </c>
      <c r="J96" s="14">
        <v>1.2800000000000001E-2</v>
      </c>
      <c r="K96" s="24">
        <f t="shared" ca="1" si="3"/>
        <v>124</v>
      </c>
    </row>
    <row r="97" spans="1:11" hidden="1" x14ac:dyDescent="0.25">
      <c r="A97" s="3" t="s">
        <v>207</v>
      </c>
      <c r="B97" s="4" t="s">
        <v>208</v>
      </c>
      <c r="C97" s="3" t="s">
        <v>83</v>
      </c>
      <c r="D97" s="5">
        <v>44055</v>
      </c>
      <c r="E97" s="6">
        <v>10.5</v>
      </c>
      <c r="F97" s="7">
        <v>10</v>
      </c>
      <c r="G97" s="7">
        <v>10.3</v>
      </c>
      <c r="H97" s="22">
        <f t="shared" si="2"/>
        <v>3.0000000000000072E-2</v>
      </c>
      <c r="I97" s="7">
        <v>10.4</v>
      </c>
      <c r="J97" s="8">
        <v>0.04</v>
      </c>
      <c r="K97" s="24">
        <f t="shared" ca="1" si="3"/>
        <v>125</v>
      </c>
    </row>
    <row r="98" spans="1:11" ht="30" hidden="1" x14ac:dyDescent="0.25">
      <c r="A98" s="9" t="s">
        <v>209</v>
      </c>
      <c r="B98" s="10" t="s">
        <v>210</v>
      </c>
      <c r="C98" s="9" t="s">
        <v>83</v>
      </c>
      <c r="D98" s="11">
        <v>44050</v>
      </c>
      <c r="E98" s="12">
        <v>13</v>
      </c>
      <c r="F98" s="13">
        <v>10</v>
      </c>
      <c r="G98" s="13">
        <v>10.44</v>
      </c>
      <c r="H98" s="22">
        <f t="shared" si="2"/>
        <v>4.3999999999999949E-2</v>
      </c>
      <c r="I98" s="13">
        <v>10.7</v>
      </c>
      <c r="J98" s="14">
        <v>7.0000000000000007E-2</v>
      </c>
      <c r="K98" s="24">
        <f t="shared" ca="1" si="3"/>
        <v>130</v>
      </c>
    </row>
    <row r="99" spans="1:11" ht="30" hidden="1" x14ac:dyDescent="0.25">
      <c r="A99" s="3" t="s">
        <v>211</v>
      </c>
      <c r="B99" s="4" t="s">
        <v>212</v>
      </c>
      <c r="C99" s="3" t="s">
        <v>12</v>
      </c>
      <c r="D99" s="5">
        <v>44050</v>
      </c>
      <c r="E99" s="6">
        <v>5</v>
      </c>
      <c r="F99" s="7">
        <v>15</v>
      </c>
      <c r="G99" s="7">
        <v>14</v>
      </c>
      <c r="H99" s="22">
        <f t="shared" si="2"/>
        <v>-6.6666666666666666E-2</v>
      </c>
      <c r="I99" s="7">
        <v>15.35</v>
      </c>
      <c r="J99" s="8">
        <v>2.3300000000000001E-2</v>
      </c>
      <c r="K99" s="24">
        <f t="shared" ca="1" si="3"/>
        <v>130</v>
      </c>
    </row>
    <row r="100" spans="1:11" ht="45" hidden="1" x14ac:dyDescent="0.25">
      <c r="A100" s="9" t="s">
        <v>213</v>
      </c>
      <c r="B100" s="10" t="s">
        <v>214</v>
      </c>
      <c r="C100" s="9" t="s">
        <v>12</v>
      </c>
      <c r="D100" s="11">
        <v>44050</v>
      </c>
      <c r="E100" s="12">
        <v>8.8000000000000007</v>
      </c>
      <c r="F100" s="13">
        <v>18</v>
      </c>
      <c r="G100" s="13">
        <v>18</v>
      </c>
      <c r="H100" s="22">
        <f t="shared" si="2"/>
        <v>0</v>
      </c>
      <c r="I100" s="13">
        <v>18</v>
      </c>
      <c r="J100" s="14">
        <v>0</v>
      </c>
      <c r="K100" s="24">
        <f t="shared" ca="1" si="3"/>
        <v>130</v>
      </c>
    </row>
    <row r="101" spans="1:11" x14ac:dyDescent="0.25">
      <c r="A101" s="3" t="s">
        <v>215</v>
      </c>
      <c r="B101" s="4" t="s">
        <v>216</v>
      </c>
      <c r="C101" s="3" t="s">
        <v>17</v>
      </c>
      <c r="D101" s="5">
        <v>44050</v>
      </c>
      <c r="E101" s="6">
        <v>4.8</v>
      </c>
      <c r="F101" s="7">
        <v>19</v>
      </c>
      <c r="G101" s="7">
        <v>15.4</v>
      </c>
      <c r="H101" s="22">
        <f t="shared" si="2"/>
        <v>-0.18947368421052629</v>
      </c>
      <c r="I101" s="7">
        <v>19.850000000000001</v>
      </c>
      <c r="J101" s="8">
        <v>4.4699999999999997E-2</v>
      </c>
      <c r="K101" s="24">
        <f t="shared" ca="1" si="3"/>
        <v>130</v>
      </c>
    </row>
    <row r="102" spans="1:11" hidden="1" x14ac:dyDescent="0.25">
      <c r="A102" s="9" t="s">
        <v>217</v>
      </c>
      <c r="B102" s="10" t="s">
        <v>218</v>
      </c>
      <c r="C102" s="9" t="s">
        <v>12</v>
      </c>
      <c r="D102" s="11">
        <v>44049</v>
      </c>
      <c r="E102" s="12">
        <v>8.8000000000000007</v>
      </c>
      <c r="F102" s="13">
        <v>18</v>
      </c>
      <c r="G102" s="13">
        <v>26.5</v>
      </c>
      <c r="H102" s="22">
        <f t="shared" si="2"/>
        <v>0.47222222222222221</v>
      </c>
      <c r="I102" s="13">
        <v>29.48</v>
      </c>
      <c r="J102" s="14">
        <v>0.63780000000000003</v>
      </c>
      <c r="K102" s="24">
        <f t="shared" ca="1" si="3"/>
        <v>131</v>
      </c>
    </row>
    <row r="103" spans="1:11" hidden="1" x14ac:dyDescent="0.25">
      <c r="A103" s="3" t="s">
        <v>219</v>
      </c>
      <c r="B103" s="4" t="s">
        <v>220</v>
      </c>
      <c r="C103" s="3" t="s">
        <v>12</v>
      </c>
      <c r="D103" s="5">
        <v>44049</v>
      </c>
      <c r="E103" s="6">
        <v>15.6</v>
      </c>
      <c r="F103" s="7">
        <v>21</v>
      </c>
      <c r="G103" s="7">
        <v>40</v>
      </c>
      <c r="H103" s="22">
        <f t="shared" si="2"/>
        <v>0.90476190476190477</v>
      </c>
      <c r="I103" s="7">
        <v>56.32</v>
      </c>
      <c r="J103" s="8">
        <v>1.6819</v>
      </c>
      <c r="K103" s="24">
        <f t="shared" ca="1" si="3"/>
        <v>131</v>
      </c>
    </row>
    <row r="104" spans="1:11" hidden="1" x14ac:dyDescent="0.25">
      <c r="A104" s="9" t="s">
        <v>221</v>
      </c>
      <c r="B104" s="10" t="s">
        <v>222</v>
      </c>
      <c r="C104" s="9" t="s">
        <v>41</v>
      </c>
      <c r="D104" s="11">
        <v>44049</v>
      </c>
      <c r="E104" s="12">
        <v>100</v>
      </c>
      <c r="F104" s="13">
        <v>18</v>
      </c>
      <c r="G104" s="13">
        <v>21.51</v>
      </c>
      <c r="H104" s="22">
        <f t="shared" si="2"/>
        <v>0.19500000000000009</v>
      </c>
      <c r="I104" s="13">
        <v>21.94</v>
      </c>
      <c r="J104" s="14">
        <v>0.21890000000000001</v>
      </c>
      <c r="K104" s="24">
        <f t="shared" ca="1" si="3"/>
        <v>131</v>
      </c>
    </row>
    <row r="105" spans="1:11" ht="30" x14ac:dyDescent="0.25">
      <c r="A105" s="3" t="s">
        <v>223</v>
      </c>
      <c r="B105" s="4" t="s">
        <v>224</v>
      </c>
      <c r="C105" s="3" t="s">
        <v>17</v>
      </c>
      <c r="D105" s="5">
        <v>44048</v>
      </c>
      <c r="E105" s="6">
        <v>9</v>
      </c>
      <c r="F105" s="7">
        <v>24</v>
      </c>
      <c r="G105" s="7">
        <v>72.27</v>
      </c>
      <c r="H105" s="22">
        <f t="shared" si="2"/>
        <v>2.01125</v>
      </c>
      <c r="I105" s="7">
        <v>72</v>
      </c>
      <c r="J105" s="8">
        <v>2</v>
      </c>
      <c r="K105" s="24">
        <f t="shared" ca="1" si="3"/>
        <v>132</v>
      </c>
    </row>
    <row r="106" spans="1:11" ht="30" hidden="1" x14ac:dyDescent="0.25">
      <c r="A106" s="9" t="s">
        <v>225</v>
      </c>
      <c r="B106" s="10" t="s">
        <v>226</v>
      </c>
      <c r="C106" s="9" t="s">
        <v>9</v>
      </c>
      <c r="D106" s="11">
        <v>44048</v>
      </c>
      <c r="E106" s="12">
        <v>33.5</v>
      </c>
      <c r="F106" s="13">
        <v>21</v>
      </c>
      <c r="G106" s="13">
        <v>15.39</v>
      </c>
      <c r="H106" s="22">
        <f t="shared" si="2"/>
        <v>-0.26714285714285713</v>
      </c>
      <c r="I106" s="13">
        <v>20.59</v>
      </c>
      <c r="J106" s="14">
        <v>-1.95E-2</v>
      </c>
      <c r="K106" s="24">
        <f t="shared" ca="1" si="3"/>
        <v>132</v>
      </c>
    </row>
    <row r="107" spans="1:11" ht="30" hidden="1" x14ac:dyDescent="0.25">
      <c r="A107" s="3" t="s">
        <v>227</v>
      </c>
      <c r="B107" s="4" t="s">
        <v>228</v>
      </c>
      <c r="C107" s="3" t="s">
        <v>83</v>
      </c>
      <c r="D107" s="5">
        <v>44047</v>
      </c>
      <c r="E107" s="6">
        <v>13.9</v>
      </c>
      <c r="F107" s="7">
        <v>10</v>
      </c>
      <c r="G107" s="7">
        <v>11.4</v>
      </c>
      <c r="H107" s="22">
        <f t="shared" si="2"/>
        <v>0.14000000000000004</v>
      </c>
      <c r="I107" s="7">
        <v>12</v>
      </c>
      <c r="J107" s="8">
        <v>0.2</v>
      </c>
      <c r="K107" s="24">
        <f t="shared" ca="1" si="3"/>
        <v>133</v>
      </c>
    </row>
    <row r="108" spans="1:11" hidden="1" x14ac:dyDescent="0.25">
      <c r="A108" s="9" t="s">
        <v>229</v>
      </c>
      <c r="B108" s="10" t="s">
        <v>230</v>
      </c>
      <c r="C108" s="9" t="s">
        <v>24</v>
      </c>
      <c r="D108" s="11">
        <v>44043</v>
      </c>
      <c r="E108" s="12">
        <v>1.1000000000000001</v>
      </c>
      <c r="F108" s="13">
        <v>9</v>
      </c>
      <c r="G108" s="13">
        <v>8.9</v>
      </c>
      <c r="H108" s="22">
        <f t="shared" si="2"/>
        <v>-1.1111111111111072E-2</v>
      </c>
      <c r="I108" s="13">
        <v>6.14</v>
      </c>
      <c r="J108" s="14">
        <v>-0.31780000000000003</v>
      </c>
      <c r="K108" s="24">
        <f t="shared" ca="1" si="3"/>
        <v>137</v>
      </c>
    </row>
    <row r="109" spans="1:11" hidden="1" x14ac:dyDescent="0.25">
      <c r="A109" s="3" t="s">
        <v>231</v>
      </c>
      <c r="B109" s="4" t="s">
        <v>232</v>
      </c>
      <c r="C109" s="3" t="s">
        <v>41</v>
      </c>
      <c r="D109" s="5">
        <v>44043</v>
      </c>
      <c r="E109" s="6">
        <v>3.4</v>
      </c>
      <c r="F109" s="7">
        <v>10</v>
      </c>
      <c r="G109" s="7">
        <v>10.029999999999999</v>
      </c>
      <c r="H109" s="22">
        <f t="shared" si="2"/>
        <v>2.9999999999999359E-3</v>
      </c>
      <c r="I109" s="7">
        <v>26.84</v>
      </c>
      <c r="J109" s="8">
        <v>1.6839999999999999</v>
      </c>
      <c r="K109" s="24">
        <f t="shared" ca="1" si="3"/>
        <v>137</v>
      </c>
    </row>
    <row r="110" spans="1:11" ht="30" hidden="1" x14ac:dyDescent="0.25">
      <c r="A110" s="9" t="s">
        <v>233</v>
      </c>
      <c r="B110" s="10" t="s">
        <v>234</v>
      </c>
      <c r="C110" s="9" t="s">
        <v>9</v>
      </c>
      <c r="D110" s="11">
        <v>44043</v>
      </c>
      <c r="E110" s="12">
        <v>18.600000000000001</v>
      </c>
      <c r="F110" s="13">
        <v>19</v>
      </c>
      <c r="G110" s="13">
        <v>18.850000000000001</v>
      </c>
      <c r="H110" s="22">
        <f t="shared" si="2"/>
        <v>-7.8947368421051888E-3</v>
      </c>
      <c r="I110" s="13">
        <v>15.18</v>
      </c>
      <c r="J110" s="14">
        <v>-0.2011</v>
      </c>
      <c r="K110" s="24">
        <f t="shared" ca="1" si="3"/>
        <v>137</v>
      </c>
    </row>
    <row r="111" spans="1:11" hidden="1" x14ac:dyDescent="0.25">
      <c r="A111" s="3" t="s">
        <v>235</v>
      </c>
      <c r="B111" s="4" t="s">
        <v>236</v>
      </c>
      <c r="C111" s="3" t="s">
        <v>24</v>
      </c>
      <c r="D111" s="5">
        <v>44043</v>
      </c>
      <c r="E111" s="6">
        <v>9.3000000000000007</v>
      </c>
      <c r="F111" s="7">
        <v>22</v>
      </c>
      <c r="G111" s="7">
        <v>35.26</v>
      </c>
      <c r="H111" s="22">
        <f t="shared" si="2"/>
        <v>0.60272727272727267</v>
      </c>
      <c r="I111" s="7">
        <v>26.11</v>
      </c>
      <c r="J111" s="8">
        <v>0.18679999999999999</v>
      </c>
      <c r="K111" s="24">
        <f t="shared" ca="1" si="3"/>
        <v>137</v>
      </c>
    </row>
    <row r="112" spans="1:11" hidden="1" x14ac:dyDescent="0.25">
      <c r="A112" s="9" t="s">
        <v>237</v>
      </c>
      <c r="B112" s="10" t="s">
        <v>238</v>
      </c>
      <c r="C112" s="9" t="s">
        <v>12</v>
      </c>
      <c r="D112" s="11">
        <v>44042</v>
      </c>
      <c r="E112" s="12">
        <v>16.3</v>
      </c>
      <c r="F112" s="13">
        <v>17</v>
      </c>
      <c r="G112" s="13">
        <v>25.39</v>
      </c>
      <c r="H112" s="22">
        <f t="shared" si="2"/>
        <v>0.49352941176470594</v>
      </c>
      <c r="I112" s="13">
        <v>40.200000000000003</v>
      </c>
      <c r="J112" s="14">
        <v>1.3647</v>
      </c>
      <c r="K112" s="24">
        <f t="shared" ca="1" si="3"/>
        <v>138</v>
      </c>
    </row>
    <row r="113" spans="1:11" hidden="1" x14ac:dyDescent="0.25">
      <c r="A113" s="3" t="s">
        <v>239</v>
      </c>
      <c r="B113" s="4" t="s">
        <v>240</v>
      </c>
      <c r="C113" s="3" t="s">
        <v>24</v>
      </c>
      <c r="D113" s="5">
        <v>44042</v>
      </c>
      <c r="E113" s="6">
        <v>95</v>
      </c>
      <c r="F113" s="7">
        <v>11.5</v>
      </c>
      <c r="G113" s="7">
        <v>16.46</v>
      </c>
      <c r="H113" s="22">
        <f t="shared" si="2"/>
        <v>0.43130434782608701</v>
      </c>
      <c r="I113" s="7">
        <v>31.33</v>
      </c>
      <c r="J113" s="8">
        <v>1.7242999999999999</v>
      </c>
      <c r="K113" s="24">
        <f t="shared" ca="1" si="3"/>
        <v>138</v>
      </c>
    </row>
    <row r="114" spans="1:11" x14ac:dyDescent="0.25">
      <c r="A114" s="9" t="s">
        <v>241</v>
      </c>
      <c r="B114" s="10" t="s">
        <v>242</v>
      </c>
      <c r="C114" s="9" t="s">
        <v>17</v>
      </c>
      <c r="D114" s="11">
        <v>44041</v>
      </c>
      <c r="E114" s="12">
        <v>21.2</v>
      </c>
      <c r="F114" s="13">
        <v>19</v>
      </c>
      <c r="G114" s="13">
        <v>23.93</v>
      </c>
      <c r="H114" s="22">
        <f t="shared" si="2"/>
        <v>0.2594736842105263</v>
      </c>
      <c r="I114" s="13">
        <v>28.43</v>
      </c>
      <c r="J114" s="14">
        <v>0.49630000000000002</v>
      </c>
      <c r="K114" s="24">
        <f t="shared" ca="1" si="3"/>
        <v>139</v>
      </c>
    </row>
    <row r="115" spans="1:11" hidden="1" x14ac:dyDescent="0.25">
      <c r="A115" s="3" t="s">
        <v>243</v>
      </c>
      <c r="B115" s="4" t="s">
        <v>244</v>
      </c>
      <c r="C115" s="3" t="s">
        <v>12</v>
      </c>
      <c r="D115" s="5">
        <v>44036</v>
      </c>
      <c r="E115" s="6">
        <v>14.8</v>
      </c>
      <c r="F115" s="7">
        <v>17</v>
      </c>
      <c r="G115" s="7">
        <v>17.760000000000002</v>
      </c>
      <c r="H115" s="22">
        <f t="shared" si="2"/>
        <v>4.4705882352941269E-2</v>
      </c>
      <c r="I115" s="7">
        <v>24.67</v>
      </c>
      <c r="J115" s="8">
        <v>0.45119999999999999</v>
      </c>
      <c r="K115" s="24">
        <f t="shared" ca="1" si="3"/>
        <v>144</v>
      </c>
    </row>
    <row r="116" spans="1:11" hidden="1" x14ac:dyDescent="0.25">
      <c r="A116" s="9" t="s">
        <v>245</v>
      </c>
      <c r="B116" s="10" t="s">
        <v>246</v>
      </c>
      <c r="C116" s="9" t="s">
        <v>12</v>
      </c>
      <c r="D116" s="11">
        <v>44036</v>
      </c>
      <c r="E116" s="12">
        <v>7</v>
      </c>
      <c r="F116" s="13">
        <v>16</v>
      </c>
      <c r="G116" s="13">
        <v>17.54</v>
      </c>
      <c r="H116" s="22">
        <f t="shared" si="2"/>
        <v>9.6249999999999947E-2</v>
      </c>
      <c r="I116" s="13">
        <v>23.39</v>
      </c>
      <c r="J116" s="14">
        <v>0.46189999999999998</v>
      </c>
      <c r="K116" s="24">
        <f t="shared" ca="1" si="3"/>
        <v>144</v>
      </c>
    </row>
    <row r="117" spans="1:11" hidden="1" x14ac:dyDescent="0.25">
      <c r="A117" s="3" t="s">
        <v>247</v>
      </c>
      <c r="B117" s="4" t="s">
        <v>248</v>
      </c>
      <c r="C117" s="3" t="s">
        <v>12</v>
      </c>
      <c r="D117" s="5">
        <v>44036</v>
      </c>
      <c r="E117" s="6">
        <v>10.6</v>
      </c>
      <c r="F117" s="7">
        <v>19</v>
      </c>
      <c r="G117" s="7">
        <v>19.05</v>
      </c>
      <c r="H117" s="22">
        <f t="shared" si="2"/>
        <v>2.6315789473684583E-3</v>
      </c>
      <c r="I117" s="7">
        <v>29.75</v>
      </c>
      <c r="J117" s="8">
        <v>0.56579999999999997</v>
      </c>
      <c r="K117" s="24">
        <f t="shared" ca="1" si="3"/>
        <v>144</v>
      </c>
    </row>
    <row r="118" spans="1:11" hidden="1" x14ac:dyDescent="0.25">
      <c r="A118" s="9" t="s">
        <v>249</v>
      </c>
      <c r="B118" s="10" t="s">
        <v>250</v>
      </c>
      <c r="C118" s="9" t="s">
        <v>12</v>
      </c>
      <c r="D118" s="11">
        <v>44036</v>
      </c>
      <c r="E118" s="12">
        <v>11</v>
      </c>
      <c r="F118" s="13">
        <v>19</v>
      </c>
      <c r="G118" s="13">
        <v>19.010000000000002</v>
      </c>
      <c r="H118" s="22">
        <f t="shared" si="2"/>
        <v>5.2631578947376649E-4</v>
      </c>
      <c r="I118" s="13">
        <v>48.44</v>
      </c>
      <c r="J118" s="14">
        <v>1.5495000000000001</v>
      </c>
      <c r="K118" s="24">
        <f t="shared" ca="1" si="3"/>
        <v>144</v>
      </c>
    </row>
    <row r="119" spans="1:11" ht="45" hidden="1" x14ac:dyDescent="0.25">
      <c r="A119" s="3" t="s">
        <v>251</v>
      </c>
      <c r="B119" s="4" t="s">
        <v>252</v>
      </c>
      <c r="C119" s="3" t="s">
        <v>9</v>
      </c>
      <c r="D119" s="5">
        <v>44035</v>
      </c>
      <c r="E119" s="6">
        <v>10</v>
      </c>
      <c r="F119" s="7">
        <v>15</v>
      </c>
      <c r="G119" s="7">
        <v>22</v>
      </c>
      <c r="H119" s="22">
        <f t="shared" si="2"/>
        <v>0.46666666666666667</v>
      </c>
      <c r="I119" s="7">
        <v>28.23</v>
      </c>
      <c r="J119" s="8">
        <v>0.88200000000000001</v>
      </c>
      <c r="K119" s="24">
        <f t="shared" ca="1" si="3"/>
        <v>145</v>
      </c>
    </row>
    <row r="120" spans="1:11" ht="45" hidden="1" x14ac:dyDescent="0.25">
      <c r="A120" s="9" t="s">
        <v>253</v>
      </c>
      <c r="B120" s="10" t="s">
        <v>254</v>
      </c>
      <c r="C120" s="9" t="s">
        <v>9</v>
      </c>
      <c r="D120" s="11">
        <v>44035</v>
      </c>
      <c r="E120" s="12">
        <v>3</v>
      </c>
      <c r="F120" s="13">
        <v>5</v>
      </c>
      <c r="G120" s="13">
        <v>4.75</v>
      </c>
      <c r="H120" s="22">
        <f t="shared" si="2"/>
        <v>-0.05</v>
      </c>
      <c r="I120" s="13">
        <v>2.98</v>
      </c>
      <c r="J120" s="14">
        <v>-0.40400000000000003</v>
      </c>
      <c r="K120" s="24">
        <f t="shared" ca="1" si="3"/>
        <v>145</v>
      </c>
    </row>
    <row r="121" spans="1:11" x14ac:dyDescent="0.25">
      <c r="A121" s="3" t="s">
        <v>255</v>
      </c>
      <c r="B121" s="4" t="s">
        <v>256</v>
      </c>
      <c r="C121" s="3" t="s">
        <v>17</v>
      </c>
      <c r="D121" s="5">
        <v>44034</v>
      </c>
      <c r="E121" s="6">
        <v>18</v>
      </c>
      <c r="F121" s="7">
        <v>26</v>
      </c>
      <c r="G121" s="7">
        <v>39.200000000000003</v>
      </c>
      <c r="H121" s="22">
        <f t="shared" si="2"/>
        <v>0.50769230769230778</v>
      </c>
      <c r="I121" s="7">
        <v>32.18</v>
      </c>
      <c r="J121" s="8">
        <v>0.23769999999999999</v>
      </c>
      <c r="K121" s="24">
        <f t="shared" ca="1" si="3"/>
        <v>146</v>
      </c>
    </row>
    <row r="122" spans="1:11" ht="30" hidden="1" x14ac:dyDescent="0.25">
      <c r="A122" s="9" t="s">
        <v>257</v>
      </c>
      <c r="B122" s="10" t="s">
        <v>258</v>
      </c>
      <c r="C122" s="9" t="s">
        <v>12</v>
      </c>
      <c r="D122" s="11">
        <v>44029</v>
      </c>
      <c r="E122" s="12">
        <v>8.5</v>
      </c>
      <c r="F122" s="13">
        <v>19</v>
      </c>
      <c r="G122" s="13">
        <v>30</v>
      </c>
      <c r="H122" s="22">
        <f t="shared" si="2"/>
        <v>0.57894736842105265</v>
      </c>
      <c r="I122" s="13">
        <v>80</v>
      </c>
      <c r="J122" s="14">
        <v>3.2105000000000001</v>
      </c>
      <c r="K122" s="24">
        <f t="shared" ca="1" si="3"/>
        <v>151</v>
      </c>
    </row>
    <row r="123" spans="1:11" hidden="1" x14ac:dyDescent="0.25">
      <c r="A123" s="3" t="s">
        <v>259</v>
      </c>
      <c r="B123" s="4" t="s">
        <v>260</v>
      </c>
      <c r="C123" s="3" t="s">
        <v>12</v>
      </c>
      <c r="D123" s="5">
        <v>44029</v>
      </c>
      <c r="E123" s="6">
        <v>8.1</v>
      </c>
      <c r="F123" s="7">
        <v>22</v>
      </c>
      <c r="G123" s="7">
        <v>65.45</v>
      </c>
      <c r="H123" s="22">
        <f t="shared" si="2"/>
        <v>1.9750000000000001</v>
      </c>
      <c r="I123" s="7">
        <v>82.81</v>
      </c>
      <c r="J123" s="8">
        <v>2.7641</v>
      </c>
      <c r="K123" s="24">
        <f t="shared" ca="1" si="3"/>
        <v>151</v>
      </c>
    </row>
    <row r="124" spans="1:11" ht="45" hidden="1" x14ac:dyDescent="0.25">
      <c r="A124" s="9" t="s">
        <v>261</v>
      </c>
      <c r="B124" s="10" t="s">
        <v>262</v>
      </c>
      <c r="C124" s="9" t="s">
        <v>12</v>
      </c>
      <c r="D124" s="11">
        <v>44029</v>
      </c>
      <c r="E124" s="12">
        <v>7.5</v>
      </c>
      <c r="F124" s="13">
        <v>18</v>
      </c>
      <c r="G124" s="13">
        <v>18.100000000000001</v>
      </c>
      <c r="H124" s="22">
        <f t="shared" si="2"/>
        <v>5.5555555555556347E-3</v>
      </c>
      <c r="I124" s="13">
        <v>14.43</v>
      </c>
      <c r="J124" s="14">
        <v>-0.1983</v>
      </c>
      <c r="K124" s="24">
        <f t="shared" ca="1" si="3"/>
        <v>151</v>
      </c>
    </row>
    <row r="125" spans="1:11" hidden="1" x14ac:dyDescent="0.25">
      <c r="A125" s="3" t="s">
        <v>263</v>
      </c>
      <c r="B125" s="4" t="s">
        <v>264</v>
      </c>
      <c r="C125" s="3" t="s">
        <v>12</v>
      </c>
      <c r="D125" s="5">
        <v>44028</v>
      </c>
      <c r="E125" s="6">
        <v>20</v>
      </c>
      <c r="F125" s="7">
        <v>20</v>
      </c>
      <c r="G125" s="7">
        <v>35.049999999999997</v>
      </c>
      <c r="H125" s="22">
        <f t="shared" si="2"/>
        <v>0.75249999999999984</v>
      </c>
      <c r="I125" s="7">
        <v>43.82</v>
      </c>
      <c r="J125" s="8">
        <v>1.1910000000000001</v>
      </c>
      <c r="K125" s="24">
        <f t="shared" ca="1" si="3"/>
        <v>152</v>
      </c>
    </row>
    <row r="126" spans="1:11" ht="30" hidden="1" x14ac:dyDescent="0.25">
      <c r="A126" s="9" t="s">
        <v>265</v>
      </c>
      <c r="B126" s="10" t="s">
        <v>266</v>
      </c>
      <c r="C126" s="9" t="s">
        <v>41</v>
      </c>
      <c r="D126" s="11">
        <v>44028</v>
      </c>
      <c r="E126" s="12">
        <v>10.7</v>
      </c>
      <c r="F126" s="13">
        <v>15</v>
      </c>
      <c r="G126" s="13">
        <v>15.51</v>
      </c>
      <c r="H126" s="22">
        <f t="shared" si="2"/>
        <v>3.3999999999999989E-2</v>
      </c>
      <c r="I126" s="13">
        <v>13.25</v>
      </c>
      <c r="J126" s="14">
        <v>-0.1167</v>
      </c>
      <c r="K126" s="24">
        <f t="shared" ca="1" si="3"/>
        <v>152</v>
      </c>
    </row>
    <row r="127" spans="1:11" hidden="1" x14ac:dyDescent="0.25">
      <c r="A127" s="3" t="s">
        <v>267</v>
      </c>
      <c r="B127" s="4" t="s">
        <v>268</v>
      </c>
      <c r="C127" s="3" t="s">
        <v>41</v>
      </c>
      <c r="D127" s="5">
        <v>44027</v>
      </c>
      <c r="E127" s="6">
        <v>43.5</v>
      </c>
      <c r="F127" s="7">
        <v>21</v>
      </c>
      <c r="G127" s="7">
        <v>19.13</v>
      </c>
      <c r="H127" s="22">
        <f t="shared" si="2"/>
        <v>-8.9047619047619098E-2</v>
      </c>
      <c r="I127" s="7">
        <v>14.09</v>
      </c>
      <c r="J127" s="8">
        <v>-0.32900000000000001</v>
      </c>
      <c r="K127" s="24">
        <f t="shared" ca="1" si="3"/>
        <v>153</v>
      </c>
    </row>
    <row r="128" spans="1:11" x14ac:dyDescent="0.25">
      <c r="A128" s="9" t="s">
        <v>269</v>
      </c>
      <c r="B128" s="10" t="s">
        <v>270</v>
      </c>
      <c r="C128" s="9" t="s">
        <v>17</v>
      </c>
      <c r="D128" s="11">
        <v>44026</v>
      </c>
      <c r="E128" s="12">
        <v>8.1</v>
      </c>
      <c r="F128" s="13">
        <v>31</v>
      </c>
      <c r="G128" s="13">
        <v>91.59</v>
      </c>
      <c r="H128" s="22">
        <f t="shared" si="2"/>
        <v>1.9545161290322581</v>
      </c>
      <c r="I128" s="13">
        <v>80.28</v>
      </c>
      <c r="J128" s="14">
        <v>1.5896999999999999</v>
      </c>
      <c r="K128" s="24">
        <f t="shared" ca="1" si="3"/>
        <v>154</v>
      </c>
    </row>
    <row r="129" spans="1:11" hidden="1" x14ac:dyDescent="0.25">
      <c r="A129" s="3" t="s">
        <v>271</v>
      </c>
      <c r="B129" s="4" t="s">
        <v>272</v>
      </c>
      <c r="C129" s="3" t="s">
        <v>12</v>
      </c>
      <c r="D129" s="5">
        <v>44022</v>
      </c>
      <c r="E129" s="6">
        <v>14</v>
      </c>
      <c r="F129" s="7">
        <v>18</v>
      </c>
      <c r="G129" s="7">
        <v>47.9</v>
      </c>
      <c r="H129" s="22">
        <f t="shared" si="2"/>
        <v>1.661111111111111</v>
      </c>
      <c r="I129" s="7">
        <v>69.599999999999994</v>
      </c>
      <c r="J129" s="8">
        <v>2.8666999999999998</v>
      </c>
      <c r="K129" s="24">
        <f t="shared" ca="1" si="3"/>
        <v>158</v>
      </c>
    </row>
    <row r="130" spans="1:11" ht="30" hidden="1" x14ac:dyDescent="0.25">
      <c r="A130" s="9" t="s">
        <v>273</v>
      </c>
      <c r="B130" s="10" t="s">
        <v>274</v>
      </c>
      <c r="C130" s="9" t="s">
        <v>12</v>
      </c>
      <c r="D130" s="11">
        <v>44022</v>
      </c>
      <c r="E130" s="12">
        <v>14</v>
      </c>
      <c r="F130" s="13">
        <v>16</v>
      </c>
      <c r="G130" s="13">
        <v>15.35</v>
      </c>
      <c r="H130" s="22">
        <f t="shared" ref="H130:H193" si="4">((G130-F130)/F130)</f>
        <v>-4.0625000000000022E-2</v>
      </c>
      <c r="I130" s="13">
        <v>10.06</v>
      </c>
      <c r="J130" s="14">
        <v>-0.37130000000000002</v>
      </c>
      <c r="K130" s="24">
        <f t="shared" ca="1" si="3"/>
        <v>158</v>
      </c>
    </row>
    <row r="131" spans="1:11" hidden="1" x14ac:dyDescent="0.25">
      <c r="A131" s="3" t="s">
        <v>275</v>
      </c>
      <c r="B131" s="4" t="s">
        <v>276</v>
      </c>
      <c r="C131" s="3" t="s">
        <v>9</v>
      </c>
      <c r="D131" s="5">
        <v>44022</v>
      </c>
      <c r="E131" s="6">
        <v>3.3</v>
      </c>
      <c r="F131" s="7">
        <v>10</v>
      </c>
      <c r="G131" s="7">
        <v>12.77</v>
      </c>
      <c r="H131" s="22">
        <f t="shared" si="4"/>
        <v>0.27699999999999997</v>
      </c>
      <c r="I131" s="7">
        <v>7.2</v>
      </c>
      <c r="J131" s="8">
        <v>-0.28000000000000003</v>
      </c>
      <c r="K131" s="24">
        <f t="shared" ref="K131:K194" ca="1" si="5">TODAY()-D131</f>
        <v>158</v>
      </c>
    </row>
    <row r="132" spans="1:11" x14ac:dyDescent="0.25">
      <c r="A132" s="9" t="s">
        <v>277</v>
      </c>
      <c r="B132" s="10" t="s">
        <v>278</v>
      </c>
      <c r="C132" s="9" t="s">
        <v>17</v>
      </c>
      <c r="D132" s="11">
        <v>44020</v>
      </c>
      <c r="E132" s="12">
        <v>5.3</v>
      </c>
      <c r="F132" s="13">
        <v>16</v>
      </c>
      <c r="G132" s="13">
        <v>23.43</v>
      </c>
      <c r="H132" s="22">
        <f t="shared" si="4"/>
        <v>0.46437499999999998</v>
      </c>
      <c r="I132" s="13">
        <v>10.7</v>
      </c>
      <c r="J132" s="14">
        <v>-0.33129999999999998</v>
      </c>
      <c r="K132" s="24">
        <f t="shared" ca="1" si="5"/>
        <v>160</v>
      </c>
    </row>
    <row r="133" spans="1:11" ht="30" hidden="1" x14ac:dyDescent="0.25">
      <c r="A133" s="3" t="s">
        <v>279</v>
      </c>
      <c r="B133" s="4" t="s">
        <v>280</v>
      </c>
      <c r="C133" s="3" t="s">
        <v>83</v>
      </c>
      <c r="D133" s="5">
        <v>44020</v>
      </c>
      <c r="E133" s="6">
        <v>11.8</v>
      </c>
      <c r="F133" s="7">
        <v>10</v>
      </c>
      <c r="G133" s="7">
        <v>12.02</v>
      </c>
      <c r="H133" s="22">
        <f t="shared" si="4"/>
        <v>0.20199999999999996</v>
      </c>
      <c r="I133" s="7">
        <v>12.96</v>
      </c>
      <c r="J133" s="8">
        <v>0.29599999999999999</v>
      </c>
      <c r="K133" s="24">
        <f t="shared" ca="1" si="5"/>
        <v>160</v>
      </c>
    </row>
    <row r="134" spans="1:11" hidden="1" x14ac:dyDescent="0.25">
      <c r="A134" s="9" t="s">
        <v>281</v>
      </c>
      <c r="B134" s="10" t="s">
        <v>282</v>
      </c>
      <c r="C134" s="9" t="s">
        <v>9</v>
      </c>
      <c r="D134" s="11">
        <v>44014</v>
      </c>
      <c r="E134" s="12">
        <v>10</v>
      </c>
      <c r="F134" s="13">
        <v>22</v>
      </c>
      <c r="G134" s="13">
        <v>29.7</v>
      </c>
      <c r="H134" s="22">
        <f t="shared" si="4"/>
        <v>0.35</v>
      </c>
      <c r="I134" s="13">
        <v>55.19</v>
      </c>
      <c r="J134" s="14">
        <v>1.5085999999999999</v>
      </c>
      <c r="K134" s="24">
        <f t="shared" ca="1" si="5"/>
        <v>166</v>
      </c>
    </row>
    <row r="135" spans="1:11" hidden="1" x14ac:dyDescent="0.25">
      <c r="A135" s="3" t="s">
        <v>283</v>
      </c>
      <c r="B135" s="4" t="s">
        <v>284</v>
      </c>
      <c r="C135" s="3" t="s">
        <v>41</v>
      </c>
      <c r="D135" s="5">
        <v>44014</v>
      </c>
      <c r="E135" s="6">
        <v>11</v>
      </c>
      <c r="F135" s="7">
        <v>29</v>
      </c>
      <c r="G135" s="7">
        <v>69.41</v>
      </c>
      <c r="H135" s="22">
        <f t="shared" si="4"/>
        <v>1.3934482758620688</v>
      </c>
      <c r="I135" s="7">
        <v>92</v>
      </c>
      <c r="J135" s="8">
        <v>2.1724000000000001</v>
      </c>
      <c r="K135" s="24">
        <f t="shared" ca="1" si="5"/>
        <v>166</v>
      </c>
    </row>
    <row r="136" spans="1:11" ht="30" hidden="1" x14ac:dyDescent="0.25">
      <c r="A136" s="9" t="s">
        <v>285</v>
      </c>
      <c r="B136" s="10" t="s">
        <v>286</v>
      </c>
      <c r="C136" s="9" t="s">
        <v>9</v>
      </c>
      <c r="D136" s="11">
        <v>44013</v>
      </c>
      <c r="E136" s="12">
        <v>78.3</v>
      </c>
      <c r="F136" s="13">
        <v>22</v>
      </c>
      <c r="G136" s="13">
        <v>25.35</v>
      </c>
      <c r="H136" s="22">
        <f t="shared" si="4"/>
        <v>0.15227272727272734</v>
      </c>
      <c r="I136" s="13">
        <v>25.76</v>
      </c>
      <c r="J136" s="14">
        <v>0.1709</v>
      </c>
      <c r="K136" s="24">
        <f t="shared" ca="1" si="5"/>
        <v>167</v>
      </c>
    </row>
    <row r="137" spans="1:11" x14ac:dyDescent="0.25">
      <c r="A137" s="3" t="s">
        <v>287</v>
      </c>
      <c r="B137" s="4" t="s">
        <v>288</v>
      </c>
      <c r="C137" s="3" t="s">
        <v>17</v>
      </c>
      <c r="D137" s="5">
        <v>44008</v>
      </c>
      <c r="E137" s="6">
        <v>17.5</v>
      </c>
      <c r="F137" s="7">
        <v>20</v>
      </c>
      <c r="G137" s="7">
        <v>50.5</v>
      </c>
      <c r="H137" s="22">
        <f t="shared" si="4"/>
        <v>1.5249999999999999</v>
      </c>
      <c r="I137" s="7">
        <v>44.96</v>
      </c>
      <c r="J137" s="8">
        <v>1.248</v>
      </c>
      <c r="K137" s="24">
        <f t="shared" ca="1" si="5"/>
        <v>172</v>
      </c>
    </row>
    <row r="138" spans="1:11" hidden="1" x14ac:dyDescent="0.25">
      <c r="A138" s="9" t="s">
        <v>289</v>
      </c>
      <c r="B138" s="10" t="s">
        <v>290</v>
      </c>
      <c r="C138" s="9" t="s">
        <v>12</v>
      </c>
      <c r="D138" s="11">
        <v>44008</v>
      </c>
      <c r="E138" s="12">
        <v>12.5</v>
      </c>
      <c r="F138" s="13">
        <v>17</v>
      </c>
      <c r="G138" s="13">
        <v>22</v>
      </c>
      <c r="H138" s="22">
        <f t="shared" si="4"/>
        <v>0.29411764705882354</v>
      </c>
      <c r="I138" s="13">
        <v>19.12</v>
      </c>
      <c r="J138" s="14">
        <v>0.12470000000000001</v>
      </c>
      <c r="K138" s="24">
        <f t="shared" ca="1" si="5"/>
        <v>172</v>
      </c>
    </row>
    <row r="139" spans="1:11" ht="30" hidden="1" x14ac:dyDescent="0.25">
      <c r="A139" s="3" t="s">
        <v>291</v>
      </c>
      <c r="B139" s="4" t="s">
        <v>292</v>
      </c>
      <c r="C139" s="3" t="s">
        <v>24</v>
      </c>
      <c r="D139" s="5">
        <v>44008</v>
      </c>
      <c r="E139" s="6">
        <v>50</v>
      </c>
      <c r="F139" s="7">
        <v>16</v>
      </c>
      <c r="G139" s="7">
        <v>15.45</v>
      </c>
      <c r="H139" s="22">
        <f t="shared" si="4"/>
        <v>-3.4375000000000044E-2</v>
      </c>
      <c r="I139" s="7">
        <v>15.1</v>
      </c>
      <c r="J139" s="8">
        <v>-5.6300000000000003E-2</v>
      </c>
      <c r="K139" s="24">
        <f t="shared" ca="1" si="5"/>
        <v>172</v>
      </c>
    </row>
    <row r="140" spans="1:11" ht="30" x14ac:dyDescent="0.25">
      <c r="A140" s="9" t="s">
        <v>293</v>
      </c>
      <c r="B140" s="10" t="s">
        <v>294</v>
      </c>
      <c r="C140" s="9" t="s">
        <v>17</v>
      </c>
      <c r="D140" s="11">
        <v>44008</v>
      </c>
      <c r="E140" s="12">
        <v>19.3</v>
      </c>
      <c r="F140" s="13">
        <v>5.23</v>
      </c>
      <c r="G140" s="13">
        <v>5</v>
      </c>
      <c r="H140" s="22">
        <f t="shared" si="4"/>
        <v>-4.3977055449330865E-2</v>
      </c>
      <c r="I140" s="13">
        <v>3.95</v>
      </c>
      <c r="J140" s="14">
        <v>-0.2447</v>
      </c>
      <c r="K140" s="24">
        <f t="shared" ca="1" si="5"/>
        <v>172</v>
      </c>
    </row>
    <row r="141" spans="1:11" ht="30" hidden="1" x14ac:dyDescent="0.25">
      <c r="A141" s="3" t="s">
        <v>295</v>
      </c>
      <c r="B141" s="4" t="s">
        <v>296</v>
      </c>
      <c r="C141" s="3" t="s">
        <v>12</v>
      </c>
      <c r="D141" s="5">
        <v>44008</v>
      </c>
      <c r="E141" s="6">
        <v>12.5</v>
      </c>
      <c r="F141" s="7">
        <v>17</v>
      </c>
      <c r="G141" s="7">
        <v>17</v>
      </c>
      <c r="H141" s="22">
        <f t="shared" si="4"/>
        <v>0</v>
      </c>
      <c r="I141" s="7">
        <v>12.77</v>
      </c>
      <c r="J141" s="8">
        <v>-0.24879999999999999</v>
      </c>
      <c r="K141" s="24">
        <f t="shared" ca="1" si="5"/>
        <v>172</v>
      </c>
    </row>
    <row r="142" spans="1:11" hidden="1" x14ac:dyDescent="0.25">
      <c r="A142" s="9" t="s">
        <v>297</v>
      </c>
      <c r="B142" s="10" t="s">
        <v>298</v>
      </c>
      <c r="C142" s="9" t="s">
        <v>12</v>
      </c>
      <c r="D142" s="11">
        <v>44008</v>
      </c>
      <c r="E142" s="12">
        <v>3.8</v>
      </c>
      <c r="F142" s="13">
        <v>16</v>
      </c>
      <c r="G142" s="13">
        <v>19</v>
      </c>
      <c r="H142" s="22">
        <f t="shared" si="4"/>
        <v>0.1875</v>
      </c>
      <c r="I142" s="13">
        <v>11.47</v>
      </c>
      <c r="J142" s="14">
        <v>-0.28310000000000002</v>
      </c>
      <c r="K142" s="24">
        <f t="shared" ca="1" si="5"/>
        <v>172</v>
      </c>
    </row>
    <row r="143" spans="1:11" ht="30" hidden="1" x14ac:dyDescent="0.25">
      <c r="A143" s="3" t="s">
        <v>299</v>
      </c>
      <c r="B143" s="4" t="s">
        <v>300</v>
      </c>
      <c r="C143" s="3" t="s">
        <v>12</v>
      </c>
      <c r="D143" s="5">
        <v>44001</v>
      </c>
      <c r="E143" s="6">
        <v>13.9</v>
      </c>
      <c r="F143" s="7">
        <v>20</v>
      </c>
      <c r="G143" s="7">
        <v>39</v>
      </c>
      <c r="H143" s="22">
        <f t="shared" si="4"/>
        <v>0.95</v>
      </c>
      <c r="I143" s="7">
        <v>47.83</v>
      </c>
      <c r="J143" s="8">
        <v>1.3915</v>
      </c>
      <c r="K143" s="24">
        <f t="shared" ca="1" si="5"/>
        <v>179</v>
      </c>
    </row>
    <row r="144" spans="1:11" hidden="1" x14ac:dyDescent="0.25">
      <c r="A144" s="9" t="s">
        <v>301</v>
      </c>
      <c r="B144" s="10" t="s">
        <v>302</v>
      </c>
      <c r="C144" s="9" t="s">
        <v>12</v>
      </c>
      <c r="D144" s="11">
        <v>44001</v>
      </c>
      <c r="E144" s="12">
        <v>16</v>
      </c>
      <c r="F144" s="13">
        <v>16</v>
      </c>
      <c r="G144" s="13">
        <v>16</v>
      </c>
      <c r="H144" s="22">
        <f t="shared" si="4"/>
        <v>0</v>
      </c>
      <c r="I144" s="13">
        <v>13.18</v>
      </c>
      <c r="J144" s="14">
        <v>-0.17630000000000001</v>
      </c>
      <c r="K144" s="24">
        <f t="shared" ca="1" si="5"/>
        <v>179</v>
      </c>
    </row>
    <row r="145" spans="1:11" hidden="1" x14ac:dyDescent="0.25">
      <c r="A145" s="3" t="s">
        <v>303</v>
      </c>
      <c r="B145" s="4" t="s">
        <v>304</v>
      </c>
      <c r="C145" s="3" t="s">
        <v>12</v>
      </c>
      <c r="D145" s="5">
        <v>44001</v>
      </c>
      <c r="E145" s="6">
        <v>6.7</v>
      </c>
      <c r="F145" s="7">
        <v>15</v>
      </c>
      <c r="G145" s="7">
        <v>13.12</v>
      </c>
      <c r="H145" s="22">
        <f t="shared" si="4"/>
        <v>-0.12533333333333338</v>
      </c>
      <c r="I145" s="7">
        <v>4.13</v>
      </c>
      <c r="J145" s="8">
        <v>-0.72470000000000001</v>
      </c>
      <c r="K145" s="24">
        <f t="shared" ca="1" si="5"/>
        <v>179</v>
      </c>
    </row>
    <row r="146" spans="1:11" ht="30" hidden="1" x14ac:dyDescent="0.25">
      <c r="A146" s="9" t="s">
        <v>305</v>
      </c>
      <c r="B146" s="10" t="s">
        <v>306</v>
      </c>
      <c r="C146" s="9" t="s">
        <v>12</v>
      </c>
      <c r="D146" s="11">
        <v>44001</v>
      </c>
      <c r="E146" s="12">
        <v>11</v>
      </c>
      <c r="F146" s="13">
        <v>20</v>
      </c>
      <c r="G146" s="13">
        <v>30.8</v>
      </c>
      <c r="H146" s="22">
        <f t="shared" si="4"/>
        <v>0.54</v>
      </c>
      <c r="I146" s="13">
        <v>39.5</v>
      </c>
      <c r="J146" s="14">
        <v>0.97499999999999998</v>
      </c>
      <c r="K146" s="24">
        <f t="shared" ca="1" si="5"/>
        <v>179</v>
      </c>
    </row>
    <row r="147" spans="1:11" hidden="1" x14ac:dyDescent="0.25">
      <c r="A147" s="3" t="s">
        <v>307</v>
      </c>
      <c r="B147" s="4" t="s">
        <v>308</v>
      </c>
      <c r="C147" s="3" t="s">
        <v>12</v>
      </c>
      <c r="D147" s="5">
        <v>43998</v>
      </c>
      <c r="E147" s="6">
        <v>77.7</v>
      </c>
      <c r="F147" s="7">
        <v>28</v>
      </c>
      <c r="G147" s="7">
        <v>44.5</v>
      </c>
      <c r="H147" s="22">
        <f t="shared" si="4"/>
        <v>0.5892857142857143</v>
      </c>
      <c r="I147" s="7">
        <v>43.12</v>
      </c>
      <c r="J147" s="8">
        <v>0.54</v>
      </c>
      <c r="K147" s="24">
        <f t="shared" ca="1" si="5"/>
        <v>182</v>
      </c>
    </row>
    <row r="148" spans="1:11" hidden="1" x14ac:dyDescent="0.25">
      <c r="A148" s="9" t="s">
        <v>309</v>
      </c>
      <c r="B148" s="10" t="s">
        <v>310</v>
      </c>
      <c r="C148" s="9" t="s">
        <v>12</v>
      </c>
      <c r="D148" s="11">
        <v>43994</v>
      </c>
      <c r="E148" s="12">
        <v>14.4</v>
      </c>
      <c r="F148" s="13">
        <v>18</v>
      </c>
      <c r="G148" s="13">
        <v>28.5</v>
      </c>
      <c r="H148" s="22">
        <f t="shared" si="4"/>
        <v>0.58333333333333337</v>
      </c>
      <c r="I148" s="13">
        <v>32.880000000000003</v>
      </c>
      <c r="J148" s="14">
        <v>0.82669999999999999</v>
      </c>
      <c r="K148" s="24">
        <f t="shared" ca="1" si="5"/>
        <v>186</v>
      </c>
    </row>
    <row r="149" spans="1:11" ht="30" hidden="1" x14ac:dyDescent="0.25">
      <c r="A149" s="3" t="s">
        <v>311</v>
      </c>
      <c r="B149" s="4" t="s">
        <v>312</v>
      </c>
      <c r="C149" s="3" t="s">
        <v>24</v>
      </c>
      <c r="D149" s="5">
        <v>43994</v>
      </c>
      <c r="E149" s="6">
        <v>33.299999999999997</v>
      </c>
      <c r="F149" s="7">
        <v>23</v>
      </c>
      <c r="G149" s="7">
        <v>27.15</v>
      </c>
      <c r="H149" s="22">
        <f t="shared" si="4"/>
        <v>0.18043478260869558</v>
      </c>
      <c r="I149" s="7">
        <v>37</v>
      </c>
      <c r="J149" s="8">
        <v>0.60870000000000002</v>
      </c>
      <c r="K149" s="24">
        <f t="shared" ca="1" si="5"/>
        <v>186</v>
      </c>
    </row>
    <row r="150" spans="1:11" ht="30" hidden="1" x14ac:dyDescent="0.25">
      <c r="A150" s="9" t="s">
        <v>313</v>
      </c>
      <c r="B150" s="10" t="s">
        <v>314</v>
      </c>
      <c r="C150" s="9" t="s">
        <v>12</v>
      </c>
      <c r="D150" s="11">
        <v>43994</v>
      </c>
      <c r="E150" s="12">
        <v>13.5</v>
      </c>
      <c r="F150" s="13">
        <v>16.5</v>
      </c>
      <c r="G150" s="13">
        <v>24.63</v>
      </c>
      <c r="H150" s="22">
        <f t="shared" si="4"/>
        <v>0.49272727272727268</v>
      </c>
      <c r="I150" s="13">
        <v>24.65</v>
      </c>
      <c r="J150" s="14">
        <v>0.49390000000000001</v>
      </c>
      <c r="K150" s="24">
        <f t="shared" ca="1" si="5"/>
        <v>186</v>
      </c>
    </row>
    <row r="151" spans="1:11" hidden="1" x14ac:dyDescent="0.25">
      <c r="A151" s="3" t="s">
        <v>315</v>
      </c>
      <c r="B151" s="4" t="s">
        <v>316</v>
      </c>
      <c r="C151" s="3" t="s">
        <v>12</v>
      </c>
      <c r="D151" s="5">
        <v>43994</v>
      </c>
      <c r="E151" s="6">
        <v>10.5</v>
      </c>
      <c r="F151" s="7">
        <v>19</v>
      </c>
      <c r="G151" s="7">
        <v>24.69</v>
      </c>
      <c r="H151" s="22">
        <f t="shared" si="4"/>
        <v>0.29947368421052639</v>
      </c>
      <c r="I151" s="7">
        <v>36.5</v>
      </c>
      <c r="J151" s="8">
        <v>0.92110000000000003</v>
      </c>
      <c r="K151" s="24">
        <f t="shared" ca="1" si="5"/>
        <v>186</v>
      </c>
    </row>
    <row r="152" spans="1:11" hidden="1" x14ac:dyDescent="0.25">
      <c r="A152" s="9" t="s">
        <v>317</v>
      </c>
      <c r="B152" s="10" t="s">
        <v>318</v>
      </c>
      <c r="C152" s="9" t="s">
        <v>12</v>
      </c>
      <c r="D152" s="11">
        <v>43994</v>
      </c>
      <c r="E152" s="12">
        <v>15.6</v>
      </c>
      <c r="F152" s="13">
        <v>16</v>
      </c>
      <c r="G152" s="13">
        <v>26.15</v>
      </c>
      <c r="H152" s="22">
        <f t="shared" si="4"/>
        <v>0.63437499999999991</v>
      </c>
      <c r="I152" s="13">
        <v>33.26</v>
      </c>
      <c r="J152" s="14">
        <v>1.0788</v>
      </c>
      <c r="K152" s="24">
        <f t="shared" ca="1" si="5"/>
        <v>186</v>
      </c>
    </row>
    <row r="153" spans="1:11" hidden="1" x14ac:dyDescent="0.25">
      <c r="A153" s="3" t="s">
        <v>319</v>
      </c>
      <c r="B153" s="4" t="s">
        <v>320</v>
      </c>
      <c r="C153" s="3" t="s">
        <v>12</v>
      </c>
      <c r="D153" s="5">
        <v>43993</v>
      </c>
      <c r="E153" s="6">
        <v>1.8</v>
      </c>
      <c r="F153" s="7">
        <v>15</v>
      </c>
      <c r="G153" s="7">
        <v>14.95</v>
      </c>
      <c r="H153" s="22">
        <f t="shared" si="4"/>
        <v>-3.3333333333333808E-3</v>
      </c>
      <c r="I153" s="7">
        <v>17.86</v>
      </c>
      <c r="J153" s="8">
        <v>0.19070000000000001</v>
      </c>
      <c r="K153" s="24">
        <f t="shared" ca="1" si="5"/>
        <v>187</v>
      </c>
    </row>
    <row r="154" spans="1:11" ht="30" hidden="1" x14ac:dyDescent="0.25">
      <c r="A154" s="9" t="s">
        <v>321</v>
      </c>
      <c r="B154" s="10" t="s">
        <v>322</v>
      </c>
      <c r="C154" s="9" t="s">
        <v>323</v>
      </c>
      <c r="D154" s="11">
        <v>43992</v>
      </c>
      <c r="E154" s="12">
        <v>2</v>
      </c>
      <c r="F154" s="13">
        <v>18</v>
      </c>
      <c r="G154" s="13">
        <v>17.239999999999998</v>
      </c>
      <c r="H154" s="22">
        <f t="shared" si="4"/>
        <v>-4.2222222222222307E-2</v>
      </c>
      <c r="I154" s="13">
        <v>12.7</v>
      </c>
      <c r="J154" s="14">
        <v>-0.2944</v>
      </c>
      <c r="K154" s="24">
        <f t="shared" ca="1" si="5"/>
        <v>188</v>
      </c>
    </row>
    <row r="155" spans="1:11" ht="30" hidden="1" x14ac:dyDescent="0.25">
      <c r="A155" s="3" t="s">
        <v>324</v>
      </c>
      <c r="B155" s="4" t="s">
        <v>325</v>
      </c>
      <c r="C155" s="3" t="s">
        <v>83</v>
      </c>
      <c r="D155" s="5">
        <v>43991</v>
      </c>
      <c r="E155" s="6">
        <v>36</v>
      </c>
      <c r="F155" s="7">
        <v>10</v>
      </c>
      <c r="G155" s="7">
        <v>10.25</v>
      </c>
      <c r="H155" s="22">
        <f t="shared" si="4"/>
        <v>2.5000000000000001E-2</v>
      </c>
      <c r="I155" s="7">
        <v>10.79</v>
      </c>
      <c r="J155" s="8">
        <v>7.9000000000000001E-2</v>
      </c>
      <c r="K155" s="24">
        <f t="shared" ca="1" si="5"/>
        <v>189</v>
      </c>
    </row>
    <row r="156" spans="1:11" hidden="1" x14ac:dyDescent="0.25">
      <c r="A156" s="9" t="s">
        <v>326</v>
      </c>
      <c r="B156" s="10" t="s">
        <v>327</v>
      </c>
      <c r="C156" s="9" t="s">
        <v>9</v>
      </c>
      <c r="D156" s="11">
        <v>43991</v>
      </c>
      <c r="E156" s="12">
        <v>21.3</v>
      </c>
      <c r="F156" s="13">
        <v>22</v>
      </c>
      <c r="G156" s="13">
        <v>47.9</v>
      </c>
      <c r="H156" s="22">
        <f t="shared" si="4"/>
        <v>1.1772727272727272</v>
      </c>
      <c r="I156" s="13">
        <v>35.44</v>
      </c>
      <c r="J156" s="14">
        <v>0.6109</v>
      </c>
      <c r="K156" s="24">
        <f t="shared" ca="1" si="5"/>
        <v>189</v>
      </c>
    </row>
    <row r="157" spans="1:11" ht="30" hidden="1" x14ac:dyDescent="0.25">
      <c r="A157" s="3" t="s">
        <v>328</v>
      </c>
      <c r="B157" s="4" t="s">
        <v>329</v>
      </c>
      <c r="C157" s="3" t="s">
        <v>12</v>
      </c>
      <c r="D157" s="5">
        <v>43987</v>
      </c>
      <c r="E157" s="6">
        <v>11</v>
      </c>
      <c r="F157" s="7">
        <v>14</v>
      </c>
      <c r="G157" s="7">
        <v>17.98</v>
      </c>
      <c r="H157" s="22">
        <f t="shared" si="4"/>
        <v>0.28428571428571431</v>
      </c>
      <c r="I157" s="7">
        <v>31.85</v>
      </c>
      <c r="J157" s="8">
        <v>1.2749999999999999</v>
      </c>
      <c r="K157" s="24">
        <f t="shared" ca="1" si="5"/>
        <v>193</v>
      </c>
    </row>
    <row r="158" spans="1:11" x14ac:dyDescent="0.25">
      <c r="A158" s="9" t="s">
        <v>330</v>
      </c>
      <c r="B158" s="10" t="s">
        <v>331</v>
      </c>
      <c r="C158" s="9" t="s">
        <v>17</v>
      </c>
      <c r="D158" s="11">
        <v>43987</v>
      </c>
      <c r="E158" s="12">
        <v>20</v>
      </c>
      <c r="F158" s="13">
        <v>16</v>
      </c>
      <c r="G158" s="13">
        <v>15.99</v>
      </c>
      <c r="H158" s="22">
        <f t="shared" si="4"/>
        <v>-6.2499999999998668E-4</v>
      </c>
      <c r="I158" s="13">
        <v>42.6</v>
      </c>
      <c r="J158" s="14">
        <v>1.6625000000000001</v>
      </c>
      <c r="K158" s="24">
        <f t="shared" ca="1" si="5"/>
        <v>193</v>
      </c>
    </row>
    <row r="159" spans="1:11" hidden="1" x14ac:dyDescent="0.25">
      <c r="A159" s="3" t="s">
        <v>332</v>
      </c>
      <c r="B159" s="4" t="s">
        <v>333</v>
      </c>
      <c r="C159" s="3" t="s">
        <v>12</v>
      </c>
      <c r="D159" s="5">
        <v>43987</v>
      </c>
      <c r="E159" s="6">
        <v>18.399999999999999</v>
      </c>
      <c r="F159" s="7">
        <v>23</v>
      </c>
      <c r="G159" s="7">
        <v>37</v>
      </c>
      <c r="H159" s="22">
        <f t="shared" si="4"/>
        <v>0.60869565217391308</v>
      </c>
      <c r="I159" s="7">
        <v>30</v>
      </c>
      <c r="J159" s="8">
        <v>0.30430000000000001</v>
      </c>
      <c r="K159" s="24">
        <f t="shared" ca="1" si="5"/>
        <v>193</v>
      </c>
    </row>
    <row r="160" spans="1:11" hidden="1" x14ac:dyDescent="0.25">
      <c r="A160" s="9" t="s">
        <v>334</v>
      </c>
      <c r="B160" s="10" t="s">
        <v>335</v>
      </c>
      <c r="C160" s="9" t="s">
        <v>9</v>
      </c>
      <c r="D160" s="11">
        <v>43987</v>
      </c>
      <c r="E160" s="12">
        <v>15</v>
      </c>
      <c r="F160" s="13">
        <v>23</v>
      </c>
      <c r="G160" s="13">
        <v>33.54</v>
      </c>
      <c r="H160" s="22">
        <f t="shared" si="4"/>
        <v>0.45826086956521733</v>
      </c>
      <c r="I160" s="13">
        <v>63.62</v>
      </c>
      <c r="J160" s="14">
        <v>1.7661</v>
      </c>
      <c r="K160" s="24">
        <f t="shared" ca="1" si="5"/>
        <v>193</v>
      </c>
    </row>
    <row r="161" spans="1:11" ht="30" x14ac:dyDescent="0.25">
      <c r="A161" s="3" t="s">
        <v>336</v>
      </c>
      <c r="B161" s="4" t="s">
        <v>337</v>
      </c>
      <c r="C161" s="3" t="s">
        <v>17</v>
      </c>
      <c r="D161" s="5">
        <v>43986</v>
      </c>
      <c r="E161" s="6">
        <v>44.5</v>
      </c>
      <c r="F161" s="7">
        <v>21</v>
      </c>
      <c r="G161" s="7">
        <v>34</v>
      </c>
      <c r="H161" s="22">
        <f t="shared" si="4"/>
        <v>0.61904761904761907</v>
      </c>
      <c r="I161" s="7">
        <v>42.14</v>
      </c>
      <c r="J161" s="8">
        <v>1.0066999999999999</v>
      </c>
      <c r="K161" s="24">
        <f t="shared" ca="1" si="5"/>
        <v>194</v>
      </c>
    </row>
    <row r="162" spans="1:11" hidden="1" x14ac:dyDescent="0.25">
      <c r="A162" s="9" t="s">
        <v>338</v>
      </c>
      <c r="B162" s="10" t="s">
        <v>339</v>
      </c>
      <c r="C162" s="9" t="s">
        <v>12</v>
      </c>
      <c r="D162" s="11">
        <v>43985</v>
      </c>
      <c r="E162" s="12">
        <v>9</v>
      </c>
      <c r="F162" s="13">
        <v>16</v>
      </c>
      <c r="G162" s="13">
        <v>21.3</v>
      </c>
      <c r="H162" s="22">
        <f t="shared" si="4"/>
        <v>0.33125000000000004</v>
      </c>
      <c r="I162" s="13">
        <v>27.42</v>
      </c>
      <c r="J162" s="14">
        <v>0.71379999999999999</v>
      </c>
      <c r="K162" s="24">
        <f t="shared" ca="1" si="5"/>
        <v>195</v>
      </c>
    </row>
    <row r="163" spans="1:11" ht="30" hidden="1" x14ac:dyDescent="0.25">
      <c r="A163" s="3" t="s">
        <v>340</v>
      </c>
      <c r="B163" s="4" t="s">
        <v>341</v>
      </c>
      <c r="C163" s="3" t="s">
        <v>24</v>
      </c>
      <c r="D163" s="5">
        <v>43985</v>
      </c>
      <c r="E163" s="6">
        <v>77</v>
      </c>
      <c r="F163" s="7">
        <v>25</v>
      </c>
      <c r="G163" s="7">
        <v>30.12</v>
      </c>
      <c r="H163" s="22">
        <f t="shared" si="4"/>
        <v>0.20480000000000004</v>
      </c>
      <c r="I163" s="7">
        <v>33.090000000000003</v>
      </c>
      <c r="J163" s="8">
        <v>0.3236</v>
      </c>
      <c r="K163" s="24">
        <f t="shared" ca="1" si="5"/>
        <v>195</v>
      </c>
    </row>
    <row r="164" spans="1:11" hidden="1" x14ac:dyDescent="0.25">
      <c r="A164" s="9" t="s">
        <v>342</v>
      </c>
      <c r="B164" s="10" t="s">
        <v>343</v>
      </c>
      <c r="C164" s="9" t="s">
        <v>12</v>
      </c>
      <c r="D164" s="11">
        <v>43973</v>
      </c>
      <c r="E164" s="12">
        <v>8.1999999999999993</v>
      </c>
      <c r="F164" s="13">
        <v>19</v>
      </c>
      <c r="G164" s="13">
        <v>42.51</v>
      </c>
      <c r="H164" s="22">
        <f t="shared" si="4"/>
        <v>1.2373684210526315</v>
      </c>
      <c r="I164" s="13">
        <v>66.41</v>
      </c>
      <c r="J164" s="14">
        <v>2.4952999999999999</v>
      </c>
      <c r="K164" s="24">
        <f t="shared" ca="1" si="5"/>
        <v>207</v>
      </c>
    </row>
    <row r="165" spans="1:11" hidden="1" x14ac:dyDescent="0.25">
      <c r="A165" s="3" t="s">
        <v>344</v>
      </c>
      <c r="B165" s="4" t="s">
        <v>345</v>
      </c>
      <c r="C165" s="3" t="s">
        <v>41</v>
      </c>
      <c r="D165" s="5">
        <v>43972</v>
      </c>
      <c r="E165" s="6">
        <v>28.5</v>
      </c>
      <c r="F165" s="7">
        <v>20</v>
      </c>
      <c r="G165" s="7">
        <v>27</v>
      </c>
      <c r="H165" s="22">
        <f t="shared" si="4"/>
        <v>0.35</v>
      </c>
      <c r="I165" s="7">
        <v>22.91</v>
      </c>
      <c r="J165" s="8">
        <v>0.14549999999999999</v>
      </c>
      <c r="K165" s="24">
        <f t="shared" ca="1" si="5"/>
        <v>208</v>
      </c>
    </row>
    <row r="166" spans="1:11" ht="30" hidden="1" x14ac:dyDescent="0.25">
      <c r="A166" s="9" t="s">
        <v>346</v>
      </c>
      <c r="B166" s="10" t="s">
        <v>347</v>
      </c>
      <c r="C166" s="9" t="s">
        <v>12</v>
      </c>
      <c r="D166" s="11">
        <v>43966</v>
      </c>
      <c r="E166" s="12">
        <v>12.3</v>
      </c>
      <c r="F166" s="13">
        <v>19</v>
      </c>
      <c r="G166" s="13">
        <v>29.65</v>
      </c>
      <c r="H166" s="22">
        <f t="shared" si="4"/>
        <v>0.56052631578947365</v>
      </c>
      <c r="I166" s="13">
        <v>34.24</v>
      </c>
      <c r="J166" s="14">
        <v>0.80210000000000004</v>
      </c>
      <c r="K166" s="24">
        <f t="shared" ca="1" si="5"/>
        <v>214</v>
      </c>
    </row>
    <row r="167" spans="1:11" ht="30" hidden="1" x14ac:dyDescent="0.25">
      <c r="A167" s="3" t="s">
        <v>348</v>
      </c>
      <c r="B167" s="4" t="s">
        <v>349</v>
      </c>
      <c r="C167" s="3" t="s">
        <v>12</v>
      </c>
      <c r="D167" s="5">
        <v>43959</v>
      </c>
      <c r="E167" s="6">
        <v>3.7</v>
      </c>
      <c r="F167" s="7">
        <v>15</v>
      </c>
      <c r="G167" s="7">
        <v>15.03</v>
      </c>
      <c r="H167" s="22">
        <f t="shared" si="4"/>
        <v>1.9999999999999575E-3</v>
      </c>
      <c r="I167" s="7">
        <v>11.97</v>
      </c>
      <c r="J167" s="8">
        <v>-0.20200000000000001</v>
      </c>
      <c r="K167" s="24">
        <f t="shared" ca="1" si="5"/>
        <v>221</v>
      </c>
    </row>
    <row r="168" spans="1:11" ht="30" hidden="1" x14ac:dyDescent="0.25">
      <c r="A168" s="9" t="s">
        <v>350</v>
      </c>
      <c r="B168" s="10" t="s">
        <v>351</v>
      </c>
      <c r="C168" s="9" t="s">
        <v>9</v>
      </c>
      <c r="D168" s="11">
        <v>43959</v>
      </c>
      <c r="E168" s="12">
        <v>1.3</v>
      </c>
      <c r="F168" s="13">
        <v>6</v>
      </c>
      <c r="G168" s="13">
        <v>4.8499999999999996</v>
      </c>
      <c r="H168" s="22">
        <f t="shared" si="4"/>
        <v>-0.19166666666666674</v>
      </c>
      <c r="I168" s="13">
        <v>5.95</v>
      </c>
      <c r="J168" s="14">
        <v>-8.3000000000000001E-3</v>
      </c>
      <c r="K168" s="24">
        <f t="shared" ca="1" si="5"/>
        <v>221</v>
      </c>
    </row>
    <row r="169" spans="1:11" ht="30" x14ac:dyDescent="0.25">
      <c r="A169" s="3" t="s">
        <v>352</v>
      </c>
      <c r="B169" s="4" t="s">
        <v>353</v>
      </c>
      <c r="C169" s="3" t="s">
        <v>17</v>
      </c>
      <c r="D169" s="5">
        <v>43959</v>
      </c>
      <c r="E169" s="6">
        <v>30</v>
      </c>
      <c r="F169" s="7">
        <v>17</v>
      </c>
      <c r="G169" s="7">
        <v>23.84</v>
      </c>
      <c r="H169" s="22">
        <f t="shared" si="4"/>
        <v>0.40235294117647058</v>
      </c>
      <c r="I169" s="7">
        <v>46.2</v>
      </c>
      <c r="J169" s="8">
        <v>1.7176</v>
      </c>
      <c r="K169" s="24">
        <f t="shared" ca="1" si="5"/>
        <v>221</v>
      </c>
    </row>
    <row r="170" spans="1:11" hidden="1" x14ac:dyDescent="0.25">
      <c r="A170" s="9" t="s">
        <v>354</v>
      </c>
      <c r="B170" s="10" t="s">
        <v>355</v>
      </c>
      <c r="C170" s="9" t="s">
        <v>12</v>
      </c>
      <c r="D170" s="11">
        <v>43952</v>
      </c>
      <c r="E170" s="12">
        <v>3.5</v>
      </c>
      <c r="F170" s="13">
        <v>16</v>
      </c>
      <c r="G170" s="13">
        <v>18.559999999999999</v>
      </c>
      <c r="H170" s="22">
        <f t="shared" si="4"/>
        <v>0.15999999999999992</v>
      </c>
      <c r="I170" s="13">
        <v>9.73</v>
      </c>
      <c r="J170" s="14">
        <v>-0.39190000000000003</v>
      </c>
      <c r="K170" s="24">
        <f t="shared" ca="1" si="5"/>
        <v>228</v>
      </c>
    </row>
    <row r="171" spans="1:11" ht="30" hidden="1" x14ac:dyDescent="0.25">
      <c r="A171" s="3" t="s">
        <v>356</v>
      </c>
      <c r="B171" s="4" t="s">
        <v>357</v>
      </c>
      <c r="C171" s="3" t="s">
        <v>12</v>
      </c>
      <c r="D171" s="5">
        <v>43945</v>
      </c>
      <c r="E171" s="6">
        <v>7.5</v>
      </c>
      <c r="F171" s="7">
        <v>16</v>
      </c>
      <c r="G171" s="7">
        <v>25.77</v>
      </c>
      <c r="H171" s="22">
        <f t="shared" si="4"/>
        <v>0.61062499999999997</v>
      </c>
      <c r="I171" s="7">
        <v>35.770000000000003</v>
      </c>
      <c r="J171" s="8">
        <v>1.2356</v>
      </c>
      <c r="K171" s="24">
        <f t="shared" ca="1" si="5"/>
        <v>235</v>
      </c>
    </row>
    <row r="172" spans="1:11" hidden="1" x14ac:dyDescent="0.25">
      <c r="A172" s="9" t="s">
        <v>358</v>
      </c>
      <c r="B172" s="10" t="s">
        <v>359</v>
      </c>
      <c r="C172" s="9" t="s">
        <v>12</v>
      </c>
      <c r="D172" s="11">
        <v>43929</v>
      </c>
      <c r="E172" s="12">
        <v>6</v>
      </c>
      <c r="F172" s="13">
        <v>16</v>
      </c>
      <c r="G172" s="13">
        <v>20.079999999999998</v>
      </c>
      <c r="H172" s="22">
        <f t="shared" si="4"/>
        <v>0.25499999999999989</v>
      </c>
      <c r="I172" s="13">
        <v>78.5</v>
      </c>
      <c r="J172" s="14">
        <v>3.9062999999999999</v>
      </c>
      <c r="K172" s="24">
        <f t="shared" ca="1" si="5"/>
        <v>251</v>
      </c>
    </row>
    <row r="173" spans="1:11" ht="30" hidden="1" x14ac:dyDescent="0.25">
      <c r="A173" s="3" t="s">
        <v>360</v>
      </c>
      <c r="B173" s="4" t="s">
        <v>361</v>
      </c>
      <c r="C173" s="3" t="s">
        <v>12</v>
      </c>
      <c r="D173" s="5">
        <v>43924</v>
      </c>
      <c r="E173" s="6">
        <v>9.1999999999999993</v>
      </c>
      <c r="F173" s="7">
        <v>18</v>
      </c>
      <c r="G173" s="7">
        <v>23.2</v>
      </c>
      <c r="H173" s="22">
        <f t="shared" si="4"/>
        <v>0.28888888888888886</v>
      </c>
      <c r="I173" s="7">
        <v>51.66</v>
      </c>
      <c r="J173" s="8">
        <v>1.87</v>
      </c>
      <c r="K173" s="24">
        <f t="shared" ca="1" si="5"/>
        <v>256</v>
      </c>
    </row>
    <row r="174" spans="1:11" ht="30" x14ac:dyDescent="0.25">
      <c r="A174" s="9" t="s">
        <v>362</v>
      </c>
      <c r="B174" s="10" t="s">
        <v>363</v>
      </c>
      <c r="C174" s="9" t="s">
        <v>17</v>
      </c>
      <c r="D174" s="11">
        <v>43922</v>
      </c>
      <c r="E174" s="12">
        <v>4.8</v>
      </c>
      <c r="F174" s="13">
        <v>5.5</v>
      </c>
      <c r="G174" s="13">
        <v>5.5</v>
      </c>
      <c r="H174" s="22">
        <f t="shared" si="4"/>
        <v>0</v>
      </c>
      <c r="I174" s="13">
        <v>5.9</v>
      </c>
      <c r="J174" s="14">
        <v>7.2700000000000001E-2</v>
      </c>
      <c r="K174" s="24">
        <f t="shared" ca="1" si="5"/>
        <v>258</v>
      </c>
    </row>
    <row r="175" spans="1:11" hidden="1" x14ac:dyDescent="0.25">
      <c r="A175" s="3" t="s">
        <v>364</v>
      </c>
      <c r="B175" s="4" t="s">
        <v>365</v>
      </c>
      <c r="C175" s="3" t="s">
        <v>12</v>
      </c>
      <c r="D175" s="5">
        <v>43902</v>
      </c>
      <c r="E175" s="6">
        <v>4.7</v>
      </c>
      <c r="F175" s="7">
        <v>16</v>
      </c>
      <c r="G175" s="7">
        <v>15</v>
      </c>
      <c r="H175" s="22">
        <f t="shared" si="4"/>
        <v>-6.25E-2</v>
      </c>
      <c r="I175" s="7">
        <v>24.14</v>
      </c>
      <c r="J175" s="8">
        <v>0.50880000000000003</v>
      </c>
      <c r="K175" s="24">
        <f t="shared" ca="1" si="5"/>
        <v>278</v>
      </c>
    </row>
    <row r="176" spans="1:11" ht="30" hidden="1" x14ac:dyDescent="0.25">
      <c r="A176" s="9" t="s">
        <v>366</v>
      </c>
      <c r="B176" s="10" t="s">
        <v>367</v>
      </c>
      <c r="C176" s="9" t="s">
        <v>9</v>
      </c>
      <c r="D176" s="11">
        <v>43893</v>
      </c>
      <c r="E176" s="12">
        <v>75</v>
      </c>
      <c r="F176" s="13">
        <v>19</v>
      </c>
      <c r="G176" s="13">
        <v>16.8</v>
      </c>
      <c r="H176" s="22">
        <f t="shared" si="4"/>
        <v>-0.11578947368421048</v>
      </c>
      <c r="I176" s="13">
        <v>26.96</v>
      </c>
      <c r="J176" s="14">
        <v>0.41889999999999999</v>
      </c>
      <c r="K176" s="24">
        <f t="shared" ca="1" si="5"/>
        <v>287</v>
      </c>
    </row>
    <row r="177" spans="1:11" hidden="1" x14ac:dyDescent="0.25">
      <c r="A177" s="3" t="s">
        <v>368</v>
      </c>
      <c r="B177" s="4" t="s">
        <v>369</v>
      </c>
      <c r="C177" s="3" t="s">
        <v>12</v>
      </c>
      <c r="D177" s="5">
        <v>43889</v>
      </c>
      <c r="E177" s="6">
        <v>12</v>
      </c>
      <c r="F177" s="7">
        <v>18</v>
      </c>
      <c r="G177" s="7">
        <v>22.2</v>
      </c>
      <c r="H177" s="22">
        <f t="shared" si="4"/>
        <v>0.23333333333333328</v>
      </c>
      <c r="I177" s="7">
        <v>26.84</v>
      </c>
      <c r="J177" s="8">
        <v>0.49109999999999998</v>
      </c>
      <c r="K177" s="24">
        <f t="shared" ca="1" si="5"/>
        <v>291</v>
      </c>
    </row>
    <row r="178" spans="1:11" hidden="1" x14ac:dyDescent="0.25">
      <c r="A178" s="9" t="s">
        <v>370</v>
      </c>
      <c r="B178" s="10" t="s">
        <v>371</v>
      </c>
      <c r="C178" s="9" t="s">
        <v>9</v>
      </c>
      <c r="D178" s="11">
        <v>43885</v>
      </c>
      <c r="E178" s="12">
        <v>3</v>
      </c>
      <c r="F178" s="13">
        <v>4</v>
      </c>
      <c r="G178" s="13">
        <v>4</v>
      </c>
      <c r="H178" s="22">
        <f t="shared" si="4"/>
        <v>0</v>
      </c>
      <c r="I178" s="13">
        <v>1.7</v>
      </c>
      <c r="J178" s="14">
        <v>-0.57499999999999996</v>
      </c>
      <c r="K178" s="24">
        <f t="shared" ca="1" si="5"/>
        <v>295</v>
      </c>
    </row>
    <row r="179" spans="1:11" hidden="1" x14ac:dyDescent="0.25">
      <c r="A179" s="3" t="s">
        <v>372</v>
      </c>
      <c r="B179" s="4" t="s">
        <v>373</v>
      </c>
      <c r="C179" s="3" t="s">
        <v>9</v>
      </c>
      <c r="D179" s="5">
        <v>43874</v>
      </c>
      <c r="E179" s="6">
        <v>1.5</v>
      </c>
      <c r="F179" s="7">
        <v>5</v>
      </c>
      <c r="G179" s="7">
        <v>3.86</v>
      </c>
      <c r="H179" s="22">
        <f t="shared" si="4"/>
        <v>-0.22800000000000004</v>
      </c>
      <c r="I179" s="7">
        <v>2.02</v>
      </c>
      <c r="J179" s="8">
        <v>-0.59599999999999997</v>
      </c>
      <c r="K179" s="24">
        <f t="shared" ca="1" si="5"/>
        <v>306</v>
      </c>
    </row>
    <row r="180" spans="1:11" ht="30" hidden="1" x14ac:dyDescent="0.25">
      <c r="A180" s="9" t="s">
        <v>374</v>
      </c>
      <c r="B180" s="10" t="s">
        <v>375</v>
      </c>
      <c r="C180" s="9" t="s">
        <v>12</v>
      </c>
      <c r="D180" s="11">
        <v>43874</v>
      </c>
      <c r="E180" s="12">
        <v>14</v>
      </c>
      <c r="F180" s="13">
        <v>17</v>
      </c>
      <c r="G180" s="13">
        <v>28.9</v>
      </c>
      <c r="H180" s="22">
        <f t="shared" si="4"/>
        <v>0.7</v>
      </c>
      <c r="I180" s="13">
        <v>43.35</v>
      </c>
      <c r="J180" s="14">
        <v>1.55</v>
      </c>
      <c r="K180" s="24">
        <f t="shared" ca="1" si="5"/>
        <v>306</v>
      </c>
    </row>
    <row r="181" spans="1:11" hidden="1" x14ac:dyDescent="0.25">
      <c r="A181" s="3" t="s">
        <v>376</v>
      </c>
      <c r="B181" s="4" t="s">
        <v>377</v>
      </c>
      <c r="C181" s="3" t="s">
        <v>41</v>
      </c>
      <c r="D181" s="5">
        <v>43873</v>
      </c>
      <c r="E181" s="6">
        <v>5.3</v>
      </c>
      <c r="F181" s="7">
        <v>10.5</v>
      </c>
      <c r="G181" s="7">
        <v>10</v>
      </c>
      <c r="H181" s="22">
        <f t="shared" si="4"/>
        <v>-4.7619047619047616E-2</v>
      </c>
      <c r="I181" s="7">
        <v>7.25</v>
      </c>
      <c r="J181" s="8">
        <v>-0.3095</v>
      </c>
      <c r="K181" s="24">
        <f t="shared" ca="1" si="5"/>
        <v>307</v>
      </c>
    </row>
    <row r="182" spans="1:11" ht="30" hidden="1" x14ac:dyDescent="0.25">
      <c r="A182" s="9" t="s">
        <v>378</v>
      </c>
      <c r="B182" s="10" t="s">
        <v>379</v>
      </c>
      <c r="C182" s="9" t="s">
        <v>41</v>
      </c>
      <c r="D182" s="11">
        <v>43868</v>
      </c>
      <c r="E182" s="12">
        <v>5</v>
      </c>
      <c r="F182" s="13">
        <v>19</v>
      </c>
      <c r="G182" s="13">
        <v>18.8</v>
      </c>
      <c r="H182" s="22">
        <f t="shared" si="4"/>
        <v>-1.0526315789473648E-2</v>
      </c>
      <c r="I182" s="13">
        <v>18.23</v>
      </c>
      <c r="J182" s="14">
        <v>-4.0500000000000001E-2</v>
      </c>
      <c r="K182" s="24">
        <f t="shared" ca="1" si="5"/>
        <v>312</v>
      </c>
    </row>
    <row r="183" spans="1:11" hidden="1" x14ac:dyDescent="0.25">
      <c r="A183" s="3" t="s">
        <v>380</v>
      </c>
      <c r="B183" s="4" t="s">
        <v>381</v>
      </c>
      <c r="C183" s="3" t="s">
        <v>24</v>
      </c>
      <c r="D183" s="5">
        <v>43868</v>
      </c>
      <c r="E183" s="6">
        <v>4.5999999999999996</v>
      </c>
      <c r="F183" s="7">
        <v>12</v>
      </c>
      <c r="G183" s="7">
        <v>15.14</v>
      </c>
      <c r="H183" s="22">
        <f t="shared" si="4"/>
        <v>0.26166666666666671</v>
      </c>
      <c r="I183" s="7">
        <v>27.89</v>
      </c>
      <c r="J183" s="8">
        <v>1.3242</v>
      </c>
      <c r="K183" s="24">
        <f t="shared" ca="1" si="5"/>
        <v>312</v>
      </c>
    </row>
    <row r="184" spans="1:11" hidden="1" x14ac:dyDescent="0.25">
      <c r="A184" s="9" t="s">
        <v>382</v>
      </c>
      <c r="B184" s="10" t="s">
        <v>383</v>
      </c>
      <c r="C184" s="9" t="s">
        <v>12</v>
      </c>
      <c r="D184" s="11">
        <v>43867</v>
      </c>
      <c r="E184" s="12">
        <v>10.6</v>
      </c>
      <c r="F184" s="13">
        <v>17</v>
      </c>
      <c r="G184" s="13">
        <v>18.75</v>
      </c>
      <c r="H184" s="22">
        <f t="shared" si="4"/>
        <v>0.10294117647058823</v>
      </c>
      <c r="I184" s="13">
        <v>83.91</v>
      </c>
      <c r="J184" s="14">
        <v>3.9359000000000002</v>
      </c>
      <c r="K184" s="24">
        <f t="shared" ca="1" si="5"/>
        <v>313</v>
      </c>
    </row>
    <row r="185" spans="1:11" hidden="1" x14ac:dyDescent="0.25">
      <c r="A185" s="3" t="s">
        <v>384</v>
      </c>
      <c r="B185" s="4" t="s">
        <v>385</v>
      </c>
      <c r="C185" s="3" t="s">
        <v>24</v>
      </c>
      <c r="D185" s="5">
        <v>43867</v>
      </c>
      <c r="E185" s="6">
        <v>8.4</v>
      </c>
      <c r="F185" s="7">
        <v>12</v>
      </c>
      <c r="G185" s="7">
        <v>13.5</v>
      </c>
      <c r="H185" s="22">
        <f t="shared" si="4"/>
        <v>0.125</v>
      </c>
      <c r="I185" s="7">
        <v>6.37</v>
      </c>
      <c r="J185" s="8">
        <v>-0.46920000000000001</v>
      </c>
      <c r="K185" s="24">
        <f t="shared" ca="1" si="5"/>
        <v>313</v>
      </c>
    </row>
    <row r="186" spans="1:11" hidden="1" x14ac:dyDescent="0.25">
      <c r="A186" s="9" t="s">
        <v>386</v>
      </c>
      <c r="B186" s="10" t="s">
        <v>386</v>
      </c>
      <c r="C186" s="9" t="s">
        <v>12</v>
      </c>
      <c r="D186" s="11">
        <v>43867</v>
      </c>
      <c r="E186" s="12">
        <v>60</v>
      </c>
      <c r="F186" s="13">
        <v>27</v>
      </c>
      <c r="G186" s="13">
        <v>30</v>
      </c>
      <c r="H186" s="22">
        <f t="shared" si="4"/>
        <v>0.1111111111111111</v>
      </c>
      <c r="I186" s="13">
        <v>34.04</v>
      </c>
      <c r="J186" s="14">
        <v>0.26069999999999999</v>
      </c>
      <c r="K186" s="24">
        <f t="shared" ca="1" si="5"/>
        <v>313</v>
      </c>
    </row>
    <row r="187" spans="1:11" hidden="1" x14ac:dyDescent="0.25">
      <c r="A187" s="3" t="s">
        <v>387</v>
      </c>
      <c r="B187" s="4" t="s">
        <v>388</v>
      </c>
      <c r="C187" s="3" t="s">
        <v>12</v>
      </c>
      <c r="D187" s="5">
        <v>43867</v>
      </c>
      <c r="E187" s="6">
        <v>11.9</v>
      </c>
      <c r="F187" s="7">
        <v>17</v>
      </c>
      <c r="G187" s="7">
        <v>28.64</v>
      </c>
      <c r="H187" s="22">
        <f t="shared" si="4"/>
        <v>0.68470588235294116</v>
      </c>
      <c r="I187" s="7">
        <v>72.03</v>
      </c>
      <c r="J187" s="8">
        <v>3.2370999999999999</v>
      </c>
      <c r="K187" s="24">
        <f t="shared" ca="1" si="5"/>
        <v>313</v>
      </c>
    </row>
    <row r="188" spans="1:11" hidden="1" x14ac:dyDescent="0.25">
      <c r="A188" s="9" t="s">
        <v>389</v>
      </c>
      <c r="B188" s="10" t="s">
        <v>390</v>
      </c>
      <c r="C188" s="9" t="s">
        <v>9</v>
      </c>
      <c r="D188" s="11">
        <v>43861</v>
      </c>
      <c r="E188" s="12">
        <v>17.5</v>
      </c>
      <c r="F188" s="13">
        <v>14</v>
      </c>
      <c r="G188" s="13">
        <v>22.07</v>
      </c>
      <c r="H188" s="22">
        <f t="shared" si="4"/>
        <v>0.5764285714285714</v>
      </c>
      <c r="I188" s="13">
        <v>37.36</v>
      </c>
      <c r="J188" s="14">
        <v>1.6686000000000001</v>
      </c>
      <c r="K188" s="24">
        <f t="shared" ca="1" si="5"/>
        <v>319</v>
      </c>
    </row>
    <row r="189" spans="1:11" ht="30" hidden="1" x14ac:dyDescent="0.25">
      <c r="A189" s="3" t="s">
        <v>391</v>
      </c>
      <c r="B189" s="4" t="s">
        <v>392</v>
      </c>
      <c r="C189" s="3" t="s">
        <v>12</v>
      </c>
      <c r="D189" s="5">
        <v>43861</v>
      </c>
      <c r="E189" s="6">
        <v>9.4</v>
      </c>
      <c r="F189" s="7">
        <v>17</v>
      </c>
      <c r="G189" s="7">
        <v>21.8</v>
      </c>
      <c r="H189" s="22">
        <f t="shared" si="4"/>
        <v>0.28235294117647064</v>
      </c>
      <c r="I189" s="7">
        <v>29.16</v>
      </c>
      <c r="J189" s="8">
        <v>0.71530000000000005</v>
      </c>
      <c r="K189" s="24">
        <f t="shared" ca="1" si="5"/>
        <v>319</v>
      </c>
    </row>
    <row r="190" spans="1:11" ht="30" hidden="1" x14ac:dyDescent="0.25">
      <c r="A190" s="9" t="s">
        <v>393</v>
      </c>
      <c r="B190" s="10" t="s">
        <v>394</v>
      </c>
      <c r="C190" s="9" t="s">
        <v>24</v>
      </c>
      <c r="D190" s="11">
        <v>43861</v>
      </c>
      <c r="E190" s="12">
        <v>47.2</v>
      </c>
      <c r="F190" s="13">
        <v>26</v>
      </c>
      <c r="G190" s="13">
        <v>28.55</v>
      </c>
      <c r="H190" s="22">
        <f t="shared" si="4"/>
        <v>9.8076923076923103E-2</v>
      </c>
      <c r="I190" s="13">
        <v>30.14</v>
      </c>
      <c r="J190" s="14">
        <v>0.15920000000000001</v>
      </c>
      <c r="K190" s="24">
        <f t="shared" ca="1" si="5"/>
        <v>319</v>
      </c>
    </row>
    <row r="191" spans="1:11" ht="30" hidden="1" x14ac:dyDescent="0.25">
      <c r="A191" s="3" t="s">
        <v>395</v>
      </c>
      <c r="B191" s="4" t="s">
        <v>396</v>
      </c>
      <c r="C191" s="3" t="s">
        <v>12</v>
      </c>
      <c r="D191" s="5">
        <v>43860</v>
      </c>
      <c r="E191" s="6">
        <v>1.3</v>
      </c>
      <c r="F191" s="7">
        <v>12</v>
      </c>
      <c r="G191" s="7">
        <v>11.25</v>
      </c>
      <c r="H191" s="22">
        <f t="shared" si="4"/>
        <v>-6.25E-2</v>
      </c>
      <c r="I191" s="7">
        <v>5.7</v>
      </c>
      <c r="J191" s="8">
        <v>-0.52500000000000002</v>
      </c>
      <c r="K191" s="24">
        <f t="shared" ca="1" si="5"/>
        <v>320</v>
      </c>
    </row>
    <row r="192" spans="1:11" ht="30" hidden="1" x14ac:dyDescent="0.25">
      <c r="A192" s="9" t="s">
        <v>397</v>
      </c>
      <c r="B192" s="10" t="s">
        <v>398</v>
      </c>
      <c r="C192" s="9" t="s">
        <v>12</v>
      </c>
      <c r="D192" s="11">
        <v>43860</v>
      </c>
      <c r="E192" s="12">
        <v>10.6</v>
      </c>
      <c r="F192" s="13">
        <v>19</v>
      </c>
      <c r="G192" s="13">
        <v>39.479999999999997</v>
      </c>
      <c r="H192" s="22">
        <f t="shared" si="4"/>
        <v>1.077894736842105</v>
      </c>
      <c r="I192" s="13">
        <v>34.29</v>
      </c>
      <c r="J192" s="14">
        <v>0.80469999999999997</v>
      </c>
      <c r="K192" s="24">
        <f t="shared" ca="1" si="5"/>
        <v>320</v>
      </c>
    </row>
    <row r="193" spans="1:11" hidden="1" x14ac:dyDescent="0.25">
      <c r="A193" s="3" t="s">
        <v>399</v>
      </c>
      <c r="B193" s="4" t="s">
        <v>400</v>
      </c>
      <c r="C193" s="3" t="s">
        <v>12</v>
      </c>
      <c r="D193" s="5">
        <v>43859</v>
      </c>
      <c r="E193" s="6">
        <v>2</v>
      </c>
      <c r="F193" s="7">
        <v>6</v>
      </c>
      <c r="G193" s="7">
        <v>9.59</v>
      </c>
      <c r="H193" s="22">
        <f t="shared" si="4"/>
        <v>0.59833333333333327</v>
      </c>
      <c r="I193" s="7">
        <v>5.95</v>
      </c>
      <c r="J193" s="8">
        <v>-8.3000000000000001E-3</v>
      </c>
      <c r="K193" s="24">
        <f t="shared" ca="1" si="5"/>
        <v>321</v>
      </c>
    </row>
    <row r="194" spans="1:11" hidden="1" x14ac:dyDescent="0.25">
      <c r="A194" s="9" t="s">
        <v>401</v>
      </c>
      <c r="B194" s="10" t="s">
        <v>402</v>
      </c>
      <c r="C194" s="9" t="s">
        <v>12</v>
      </c>
      <c r="D194" s="11">
        <v>43847</v>
      </c>
      <c r="E194" s="12">
        <v>7.4</v>
      </c>
      <c r="F194" s="13">
        <v>14</v>
      </c>
      <c r="G194" s="13">
        <v>12.5</v>
      </c>
      <c r="H194" s="22">
        <f t="shared" ref="H194:H200" si="6">((G194-F194)/F194)</f>
        <v>-0.10714285714285714</v>
      </c>
      <c r="I194" s="13">
        <v>38.19</v>
      </c>
      <c r="J194" s="14">
        <v>1.7279</v>
      </c>
      <c r="K194" s="24">
        <f t="shared" ca="1" si="5"/>
        <v>333</v>
      </c>
    </row>
    <row r="195" spans="1:11" x14ac:dyDescent="0.25">
      <c r="A195" s="3" t="s">
        <v>403</v>
      </c>
      <c r="B195" s="4" t="s">
        <v>404</v>
      </c>
      <c r="C195" s="3" t="s">
        <v>17</v>
      </c>
      <c r="D195" s="5">
        <v>43847</v>
      </c>
      <c r="E195" s="6">
        <v>4.0999999999999996</v>
      </c>
      <c r="F195" s="7">
        <v>11</v>
      </c>
      <c r="G195" s="7">
        <v>11.63</v>
      </c>
      <c r="H195" s="22">
        <f t="shared" si="6"/>
        <v>5.7272727272727343E-2</v>
      </c>
      <c r="I195" s="7">
        <v>3.47</v>
      </c>
      <c r="J195" s="8">
        <v>-0.6845</v>
      </c>
      <c r="K195" s="24">
        <f t="shared" ref="K195:K200" ca="1" si="7">TODAY()-D195</f>
        <v>333</v>
      </c>
    </row>
    <row r="196" spans="1:11" ht="30" hidden="1" x14ac:dyDescent="0.25">
      <c r="A196" s="9" t="s">
        <v>405</v>
      </c>
      <c r="B196" s="10" t="s">
        <v>406</v>
      </c>
      <c r="C196" s="9" t="s">
        <v>9</v>
      </c>
      <c r="D196" s="11">
        <v>43847</v>
      </c>
      <c r="E196" s="12">
        <v>9.6</v>
      </c>
      <c r="F196" s="13">
        <v>13.5</v>
      </c>
      <c r="G196" s="13">
        <v>13</v>
      </c>
      <c r="H196" s="22">
        <f t="shared" si="6"/>
        <v>-3.7037037037037035E-2</v>
      </c>
      <c r="I196" s="13">
        <v>3.16</v>
      </c>
      <c r="J196" s="14">
        <v>-0.76590000000000003</v>
      </c>
      <c r="K196" s="24">
        <f t="shared" ca="1" si="7"/>
        <v>333</v>
      </c>
    </row>
    <row r="197" spans="1:11" hidden="1" x14ac:dyDescent="0.25">
      <c r="A197" s="3" t="s">
        <v>407</v>
      </c>
      <c r="B197" s="4" t="s">
        <v>408</v>
      </c>
      <c r="C197" s="3" t="s">
        <v>41</v>
      </c>
      <c r="D197" s="5">
        <v>43847</v>
      </c>
      <c r="E197" s="6">
        <v>7.3</v>
      </c>
      <c r="F197" s="7">
        <v>13</v>
      </c>
      <c r="G197" s="7">
        <v>13.51</v>
      </c>
      <c r="H197" s="22">
        <f t="shared" si="6"/>
        <v>3.9230769230769215E-2</v>
      </c>
      <c r="I197" s="7">
        <v>6</v>
      </c>
      <c r="J197" s="8">
        <v>-0.53849999999999998</v>
      </c>
      <c r="K197" s="24">
        <f t="shared" ca="1" si="7"/>
        <v>333</v>
      </c>
    </row>
    <row r="198" spans="1:11" hidden="1" x14ac:dyDescent="0.25">
      <c r="A198" s="9" t="s">
        <v>409</v>
      </c>
      <c r="B198" s="10" t="s">
        <v>410</v>
      </c>
      <c r="C198" s="9" t="s">
        <v>9</v>
      </c>
      <c r="D198" s="11">
        <v>43829</v>
      </c>
      <c r="E198" s="12">
        <v>11.5</v>
      </c>
      <c r="F198" s="13">
        <v>5.38</v>
      </c>
      <c r="G198" s="13">
        <v>5.46</v>
      </c>
      <c r="H198" s="22">
        <f t="shared" si="6"/>
        <v>1.4869888475836444E-2</v>
      </c>
      <c r="I198" s="13">
        <v>0.98</v>
      </c>
      <c r="J198" s="14">
        <v>-0.81779999999999997</v>
      </c>
      <c r="K198" s="24">
        <f t="shared" ca="1" si="7"/>
        <v>351</v>
      </c>
    </row>
    <row r="199" spans="1:11" ht="30" hidden="1" x14ac:dyDescent="0.25">
      <c r="A199" s="3" t="s">
        <v>411</v>
      </c>
      <c r="B199" s="4" t="s">
        <v>412</v>
      </c>
      <c r="C199" s="3" t="s">
        <v>12</v>
      </c>
      <c r="D199" s="5">
        <v>43818</v>
      </c>
      <c r="E199" s="6">
        <v>1.4</v>
      </c>
      <c r="F199" s="7">
        <v>11</v>
      </c>
      <c r="G199" s="7">
        <v>10.5</v>
      </c>
      <c r="H199" s="22">
        <f t="shared" si="6"/>
        <v>-4.5454545454545456E-2</v>
      </c>
      <c r="I199" s="7">
        <v>4.22</v>
      </c>
      <c r="J199" s="8">
        <v>-0.61639999999999995</v>
      </c>
      <c r="K199" s="24">
        <f t="shared" ca="1" si="7"/>
        <v>362</v>
      </c>
    </row>
    <row r="200" spans="1:11" ht="30.75" hidden="1" thickBot="1" x14ac:dyDescent="0.3">
      <c r="A200" s="15" t="s">
        <v>413</v>
      </c>
      <c r="B200" s="16" t="s">
        <v>414</v>
      </c>
      <c r="C200" s="15" t="s">
        <v>12</v>
      </c>
      <c r="D200" s="17">
        <v>43818</v>
      </c>
      <c r="E200" s="18">
        <v>1.1000000000000001</v>
      </c>
      <c r="F200" s="19">
        <v>8</v>
      </c>
      <c r="G200" s="19">
        <v>26.5</v>
      </c>
      <c r="H200" s="22">
        <f t="shared" si="6"/>
        <v>2.3125</v>
      </c>
      <c r="I200" s="19">
        <v>5.39</v>
      </c>
      <c r="J200" s="20">
        <v>-0.32629999999999998</v>
      </c>
      <c r="K200" s="24">
        <f t="shared" ca="1" si="7"/>
        <v>362</v>
      </c>
    </row>
    <row r="201" spans="1:11" hidden="1" x14ac:dyDescent="0.25"/>
    <row r="202" spans="1:11" hidden="1" x14ac:dyDescent="0.25"/>
    <row r="203" spans="1:11" hidden="1" x14ac:dyDescent="0.25"/>
  </sheetData>
  <autoFilter ref="C1:C203" xr:uid="{613A957D-91C7-4F8E-A41D-DC7164D5F999}">
    <filterColumn colId="0">
      <filters>
        <filter val="Technology"/>
      </filters>
    </filterColumn>
  </autoFilter>
  <hyperlinks>
    <hyperlink ref="A2" r:id="rId1" display="https://www.iposcoop.com/ipo/4d-molecular-therapeutics/" xr:uid="{CA634FA4-4DA8-44E4-A47D-0690A7384139}"/>
    <hyperlink ref="B2" r:id="rId2" display="http://finance.yahoo.com/q?s=FDMT" xr:uid="{E96B0118-30EC-427D-86CF-4FD88493E560}"/>
    <hyperlink ref="C2" r:id="rId3" display="https://www.iposcoop.com/specific-industry/?industry=Health_Care&amp;justPriced=1" xr:uid="{CE263585-1E8B-4DEA-AAF3-690B688EFA16}"/>
    <hyperlink ref="A3" r:id="rId4" display="https://www.iposcoop.com/ipo/abcellera-biologics/" xr:uid="{9EB518EB-292B-4C7C-B0AB-7F99A12479B9}"/>
    <hyperlink ref="B3" r:id="rId5" display="http://finance.yahoo.com/q?s=ABCL" xr:uid="{BBC7B1E8-29C7-4DC0-B720-F8D076C2ABF6}"/>
    <hyperlink ref="C3" r:id="rId6" display="https://www.iposcoop.com/specific-industry/?industry=Health_Care&amp;justPriced=1" xr:uid="{0FDEE824-91EB-4A03-BEA4-A1C5A275C287}"/>
    <hyperlink ref="A4" r:id="rId7" display="https://www.iposcoop.com/ipo/certara/" xr:uid="{8D9EA44F-FD27-46FF-9BFB-470C2EE7BF50}"/>
    <hyperlink ref="B4" r:id="rId8" display="http://finance.yahoo.com/q?s=CERT" xr:uid="{79E93954-27BD-4650-8D9D-119B569E0272}"/>
    <hyperlink ref="C4" r:id="rId9" display="https://www.iposcoop.com/specific-industry/?industry=Technology&amp;justPriced=1" xr:uid="{5D6B9376-2998-4EE0-8314-9A55FB6D48CC}"/>
    <hyperlink ref="A5" r:id="rId10" display="https://www.iposcoop.com/ipo/vivos-therapeutics/" xr:uid="{19F1C707-7EA0-4D84-AD9E-A06E29F7254A}"/>
    <hyperlink ref="B5" r:id="rId11" display="http://finance.yahoo.com/q?s=VVOS" xr:uid="{BC832284-473B-44F7-94F7-C96D6285F04B}"/>
    <hyperlink ref="C5" r:id="rId12" display="https://www.iposcoop.com/specific-industry/?industry=Health_Care&amp;justPriced=1" xr:uid="{F8FA95B7-65D7-41D8-BF48-5C2890F0530D}"/>
    <hyperlink ref="A6" r:id="rId13" display="https://www.iposcoop.com/ipo/airbnb-inc/" xr:uid="{7B589092-1CB1-486D-8DE7-1A9FB456A575}"/>
    <hyperlink ref="B6" r:id="rId14" display="http://finance.yahoo.com/q?s=ABNB" xr:uid="{B1B9C3F3-9A70-4A4E-A81E-AFDDC0172826}"/>
    <hyperlink ref="C6" r:id="rId15" display="https://www.iposcoop.com/specific-industry/?industry=Consumer_Services&amp;justPriced=1" xr:uid="{996477D1-9CE0-4EA3-A4E5-0A61A11BFA8B}"/>
    <hyperlink ref="A7" r:id="rId16" display="https://www.iposcoop.com/ipo/hydrofarm-holdings-group-inc/" xr:uid="{85DB5226-01F2-432D-9264-66AB9708DC91}"/>
    <hyperlink ref="B7" r:id="rId17" display="http://finance.yahoo.com/q?s=HYFM" xr:uid="{626BCD77-5017-4B4A-9517-20D00A3AA400}"/>
    <hyperlink ref="C7" r:id="rId18" display="https://www.iposcoop.com/specific-industry/?industry=Consumer_Goods&amp;justPriced=1" xr:uid="{4F9A44BA-85E2-44EC-B5B8-202C3B18BB3F}"/>
    <hyperlink ref="A8" r:id="rId19" display="https://www.iposcoop.com/ipo/c3-ai-inc/" xr:uid="{81DA4C3E-5DCC-4818-B075-0D15C7B9D18E}"/>
    <hyperlink ref="B8" r:id="rId20" display="http://finance.yahoo.com/q?s=AI" xr:uid="{9C117E79-DB47-448E-BE30-7AE9EDE36217}"/>
    <hyperlink ref="C8" r:id="rId21" display="https://www.iposcoop.com/specific-industry/?industry=Technology&amp;justPriced=1" xr:uid="{7F596867-1E1D-49B2-AAA7-B889A1CCC6FE}"/>
    <hyperlink ref="A9" r:id="rId22" display="https://www.iposcoop.com/ipo/doordash-inc/" xr:uid="{E676484B-3CDD-4D80-9AA7-369720507D0D}"/>
    <hyperlink ref="B9" r:id="rId23" display="http://finance.yahoo.com/q?s=DASH" xr:uid="{EB14F178-AF1C-4712-BA90-581EEC7E9D2C}"/>
    <hyperlink ref="C9" r:id="rId24" display="https://www.iposcoop.com/specific-industry/?industry=Consumer_Services&amp;justPriced=1" xr:uid="{DE16166D-F6F7-4738-B484-2091EE185322}"/>
    <hyperlink ref="A10" r:id="rId25" display="https://www.iposcoop.com/ipo/pubmatic-inc/" xr:uid="{36700679-C93B-4E1B-8954-9A8EC10D8B64}"/>
    <hyperlink ref="B10" r:id="rId26" display="http://finance.yahoo.com/q?s=PUBM" xr:uid="{2521634A-FC1C-4C4C-88E4-29FC365B7003}"/>
    <hyperlink ref="C10" r:id="rId27" display="https://www.iposcoop.com/specific-industry/?industry=Technology&amp;justPriced=1" xr:uid="{78600355-628A-41CA-A57D-D1A1EEE9D5BA}"/>
    <hyperlink ref="A11" r:id="rId28" display="https://www.iposcoop.com/ipo/17-education-technology-group/" xr:uid="{F1E74167-A700-4B02-A107-38A39B880935}"/>
    <hyperlink ref="B11" r:id="rId29" display="http://finance.yahoo.com/q?s=YQ" xr:uid="{F904D641-5AFB-429E-8792-763088D3CFA7}"/>
    <hyperlink ref="C11" r:id="rId30" display="https://www.iposcoop.com/specific-industry/?industry=Consumer_Services&amp;justPriced=1" xr:uid="{E103CEF1-3A6D-4CBC-B8AE-87B32C4F68D9}"/>
    <hyperlink ref="A12" r:id="rId31" display="https://www.iposcoop.com/ipo/seer-inc/" xr:uid="{A68AC0B8-326A-4933-8878-DE812220A433}"/>
    <hyperlink ref="B12" r:id="rId32" display="http://finance.yahoo.com/q?s=SEER" xr:uid="{EBE4FF4C-1269-4783-8AB6-B2DD50767E39}"/>
    <hyperlink ref="C12" r:id="rId33" display="https://www.iposcoop.com/specific-industry/?industry=Health_Care&amp;justPriced=1" xr:uid="{6B796020-7E99-4B4F-88CB-CDADD713D4C2}"/>
    <hyperlink ref="A13" r:id="rId34" display="https://www.iposcoop.com/ipo/sigilon-therapeutics-inc/" xr:uid="{13B83EE2-FAD0-43E6-82B1-4E41785B4B57}"/>
    <hyperlink ref="B13" r:id="rId35" display="http://finance.yahoo.com/q?s=SGTX" xr:uid="{669C65E6-D629-4D57-8900-BDFA7C6BA885}"/>
    <hyperlink ref="C13" r:id="rId36" display="https://www.iposcoop.com/specific-industry/?industry=Health_Care&amp;justPriced=1" xr:uid="{E1B49B4F-A61E-47B6-818A-72A8990569E0}"/>
    <hyperlink ref="A14" r:id="rId37" display="https://www.iposcoop.com/ipo/kinnate-biopharma-inc/" xr:uid="{F04840DF-5EA6-43B6-829B-04F8F9271931}"/>
    <hyperlink ref="B14" r:id="rId38" display="http://finance.yahoo.com/q?s=KNTE" xr:uid="{1E1B1CCE-A0DE-4A15-84CE-6BD2D76EBBB5}"/>
    <hyperlink ref="C14" r:id="rId39" display="https://www.iposcoop.com/specific-industry/?industry=Health_Care&amp;justPriced=1" xr:uid="{AC62B907-0089-498A-8B9E-55305D600490}"/>
    <hyperlink ref="A15" r:id="rId40" display="https://www.iposcoop.com/ipo/hf-enterprises/" xr:uid="{59C0F5D8-56F1-45AD-9BAF-C7BAAFA77B8B}"/>
    <hyperlink ref="B15" r:id="rId41" display="http://finance.yahoo.com/q?s=HFEN" xr:uid="{8E1D34F9-3A99-4712-9EEF-EBCF9733DCBA}"/>
    <hyperlink ref="C15" r:id="rId42" display="https://www.iposcoop.com/specific-industry/?industry=Financials&amp;justPriced=1" xr:uid="{AC466B01-EB74-4D78-92DF-0640486DFA50}"/>
    <hyperlink ref="A16" r:id="rId43" display="https://www.iposcoop.com/ipo/ozon-holdings-plc/" xr:uid="{2244EEA2-FBA4-41E6-999F-D3694814B469}"/>
    <hyperlink ref="B16" r:id="rId44" display="http://finance.yahoo.com/q?s=OZON" xr:uid="{5B64F7E1-13B7-4ECA-897B-304D9E381D99}"/>
    <hyperlink ref="C16" r:id="rId45" display="https://www.iposcoop.com/specific-industry/?industry=Consumer_Goods&amp;justPriced=1" xr:uid="{802E9D56-E80F-412C-8BD2-52CC714C5FBA}"/>
    <hyperlink ref="A17" r:id="rId46" display="https://www.iposcoop.com/ipo/vision-marine-technologies-inc/" xr:uid="{2184E5A4-50A5-4864-9DD3-FEBBC5505A1F}"/>
    <hyperlink ref="B17" r:id="rId47" display="http://finance.yahoo.com/q?s=VMAR" xr:uid="{6C792C58-E32F-48B6-A516-E47984227783}"/>
    <hyperlink ref="C17" r:id="rId48" display="https://www.iposcoop.com/specific-industry/?industry=Consumer_Goods&amp;justPriced=1" xr:uid="{B1ABB9D3-2350-4F1D-AF38-B61315779891}"/>
    <hyperlink ref="A18" r:id="rId49" display="https://www.iposcoop.com/ipo/maravai-lifesciences-holdings-inc/" xr:uid="{C56FC39C-77BA-409A-B220-3B35B612B607}"/>
    <hyperlink ref="B18" r:id="rId50" display="http://finance.yahoo.com/q?s=MRVI" xr:uid="{F884E378-1A4E-48D7-A4EB-579832B6D58E}"/>
    <hyperlink ref="C18" r:id="rId51" display="https://www.iposcoop.com/specific-industry/?industry=Health_Care&amp;justPriced=1" xr:uid="{A4DA6199-BA7A-46C5-9409-D71BD1D99F0B}"/>
    <hyperlink ref="A19" r:id="rId52" display="https://www.iposcoop.com/ipo/sotera-health-company/" xr:uid="{97D3A367-A66A-44A0-A698-A0067361D829}"/>
    <hyperlink ref="B19" r:id="rId53" display="http://finance.yahoo.com/q?s=SHC" xr:uid="{013A216D-0BF8-4822-9457-C6E7C9BEDC39}"/>
    <hyperlink ref="C19" r:id="rId54" display="https://www.iposcoop.com/specific-industry/?industry=Health_Care&amp;justPriced=1" xr:uid="{1486235B-B6F4-4F0C-9481-019EC01A6D25}"/>
    <hyperlink ref="A20" r:id="rId55" display="https://www.iposcoop.com/ipo/25478/" xr:uid="{084AD60A-FFFD-402C-BEB1-2C8731CCF765}"/>
    <hyperlink ref="B20" r:id="rId56" display="http://finance.yahoo.com/q?s=NGMS" xr:uid="{001B7B80-FFB1-41EE-B336-1436F7C1D176}"/>
    <hyperlink ref="C20" r:id="rId57" display="https://www.iposcoop.com/specific-industry/?industry=Consumer_Services&amp;justPriced=1" xr:uid="{18D9817C-5873-49B6-840A-84E4C16903A4}"/>
    <hyperlink ref="A21" r:id="rId58" display="https://www.iposcoop.com/ipo/olema-pharmaceuticals-inc/" xr:uid="{B959C1CA-E1A1-4B62-8061-F4F7BC821295}"/>
    <hyperlink ref="B21" r:id="rId59" display="http://finance.yahoo.com/q?s=OLMA" xr:uid="{7361C0BC-F257-459B-B8FB-030C050FF62C}"/>
    <hyperlink ref="C21" r:id="rId60" display="https://www.iposcoop.com/specific-industry/?industry=Health_Care&amp;justPriced=1" xr:uid="{C370A96F-4762-438F-BAF6-C8B4F99B431D}"/>
    <hyperlink ref="A22" r:id="rId61" display="https://www.iposcoop.com/ipo/yatsen-holding-limited/" xr:uid="{566E0C3D-FFD5-4367-8C07-2AE4108B4DC2}"/>
    <hyperlink ref="B22" r:id="rId62" display="http://finance.yahoo.com/q?s=YSG" xr:uid="{A85AD2BB-B9F1-4B41-92AB-C119CF5D527D}"/>
    <hyperlink ref="C22" r:id="rId63" display="https://www.iposcoop.com/specific-industry/?industry=Consumer_Goods&amp;justPriced=1" xr:uid="{A0FE47FA-3916-48F0-B56E-A3E5995200C9}"/>
    <hyperlink ref="A23" r:id="rId64" display="https://www.iposcoop.com/ipo/atea-pharmaceuticals-inc/" xr:uid="{E732A1DA-03F0-4D83-B023-0CEEBF3E6267}"/>
    <hyperlink ref="B23" r:id="rId65" display="http://finance.yahoo.com/q?s=AVIR" xr:uid="{9B4FFBEB-EE5E-42AF-A368-AF7022D3515E}"/>
    <hyperlink ref="C23" r:id="rId66" display="https://www.iposcoop.com/specific-industry/?industry=Health_Care&amp;justPriced=1" xr:uid="{23A23294-3F84-453C-AFBB-8007493C8C00}"/>
    <hyperlink ref="A24" r:id="rId67" display="https://www.iposcoop.com/ipo/lufax-holding-ltd/" xr:uid="{B4A26690-06BF-4D83-B820-C091509841DB}"/>
    <hyperlink ref="B24" r:id="rId68" display="http://finance.yahoo.com/q?s=LU" xr:uid="{1885699D-60C2-4532-B95E-CBCB58B7EE38}"/>
    <hyperlink ref="C24" r:id="rId69" display="https://www.iposcoop.com/specific-industry/?industry=Financials&amp;justPriced=1" xr:uid="{C0276440-3438-48FE-A38A-DC2F3CA0544E}"/>
    <hyperlink ref="A25" r:id="rId70" display="https://www.iposcoop.com/ipo/sqz-biotechnologies-company/" xr:uid="{DDD46609-16ED-42FE-A0C5-DB4B0E472C67}"/>
    <hyperlink ref="B25" r:id="rId71" display="http://finance.yahoo.com/q?s=SQZ" xr:uid="{EE1A249D-B1F9-4E30-97FE-F8C744CAD637}"/>
    <hyperlink ref="C25" r:id="rId72" display="https://www.iposcoop.com/specific-industry/?industry=Health_Care&amp;justPriced=1" xr:uid="{DE63D7A8-611F-48EB-8CB7-7D11EE4A375E}"/>
    <hyperlink ref="A26" r:id="rId73" display="https://www.iposcoop.com/ipo/allegro-microsystems-inc-2/" xr:uid="{7CD1F4E5-07C2-4476-8C0D-01F4FBD11B97}"/>
    <hyperlink ref="B26" r:id="rId74" display="http://finance.yahoo.com/q?s=ALGM" xr:uid="{B38CF546-6390-47EB-A1F7-D9FCEEAD09C3}"/>
    <hyperlink ref="C26" r:id="rId75" display="https://www.iposcoop.com/specific-industry/?industry=Technology&amp;justPriced=1" xr:uid="{0B643396-B0E7-403F-B320-B27AB165943B}"/>
    <hyperlink ref="A27" r:id="rId76" display="https://www.iposcoop.com/ipo/galecto-inc/" xr:uid="{0FCD10C5-425A-41DE-9122-30CEDA692244}"/>
    <hyperlink ref="B27" r:id="rId77" display="http://finance.yahoo.com/q?s=GLTO" xr:uid="{EF7B5BD5-5B5A-4BD1-BC19-9178A80EC991}"/>
    <hyperlink ref="C27" r:id="rId78" display="https://www.iposcoop.com/specific-industry/?industry=Health_Care&amp;justPriced=1" xr:uid="{B0994528-A3E4-45F8-93D5-1B2E58389053}"/>
    <hyperlink ref="A28" r:id="rId79" display="https://www.iposcoop.com/ipo/leslies-inc/" xr:uid="{34F454E7-761A-4567-BCA4-2E332CAB9F75}"/>
    <hyperlink ref="B28" r:id="rId80" display="http://finance.yahoo.com/q?s=LESL" xr:uid="{A0644C31-719D-458B-871E-7A9D3DA69BB8}"/>
    <hyperlink ref="C28" r:id="rId81" display="https://www.iposcoop.com/specific-industry/?industry=Consumer_Goods&amp;justPriced=1" xr:uid="{E19454F5-7CBC-46A0-A5B8-BF6F267D6F40}"/>
    <hyperlink ref="A29" r:id="rId82" display="https://www.iposcoop.com/ipo/biodesix-inc/" xr:uid="{EFDEC1EE-5034-45AB-AE6B-0BA7124F6C0C}"/>
    <hyperlink ref="B29" r:id="rId83" display="http://finance.yahoo.com/q?s=BDSX" xr:uid="{2001817F-BAF0-42CC-B976-DAB85C82B81F}"/>
    <hyperlink ref="C29" r:id="rId84" display="https://www.iposcoop.com/specific-industry/?industry=Health_Care&amp;justPriced=1" xr:uid="{A66C8AC5-C15B-4129-AE25-4D73EF955C03}"/>
    <hyperlink ref="A30" r:id="rId85" display="https://www.iposcoop.com/ipo/gatos-silver-inc/" xr:uid="{2F6B9DA7-E6D0-4333-9649-D823C3B1596F}"/>
    <hyperlink ref="B30" r:id="rId86" display="http://finance.yahoo.com/q?s=GATO" xr:uid="{86C51A2D-2A93-4DB7-80AE-D2DB3DAD9211}"/>
    <hyperlink ref="C30" r:id="rId87" display="https://www.iposcoop.com/specific-industry/?industry=Basic_Materials&amp;justPriced=1" xr:uid="{4685E62F-94C7-4449-881F-175F95453922}"/>
    <hyperlink ref="A31" r:id="rId88" display="https://www.iposcoop.com/ipo/mediaalpha-inc/" xr:uid="{A7A8540D-3207-4514-A6FE-77E95EB43AF9}"/>
    <hyperlink ref="B31" r:id="rId89" display="http://finance.yahoo.com/q?s=MAX" xr:uid="{4FF88119-CD57-4A3B-B8F5-DFD60247CF74}"/>
    <hyperlink ref="C31" r:id="rId90" display="https://www.iposcoop.com/specific-industry/?industry=Financials&amp;justPriced=1" xr:uid="{EE07C609-63FB-4696-A569-506093C6A677}"/>
    <hyperlink ref="A32" r:id="rId91" display="https://www.iposcoop.com/ipo/root-inc/" xr:uid="{74B26E16-394F-4179-814D-B779D5527AAE}"/>
    <hyperlink ref="B32" r:id="rId92" display="http://finance.yahoo.com/q?s=ROOT" xr:uid="{E5571DBB-4466-420B-A992-F9BBFBE3B579}"/>
    <hyperlink ref="C32" r:id="rId93" display="https://www.iposcoop.com/specific-industry/?industry=Financials&amp;justPriced=1" xr:uid="{57F0C2D5-BBDE-4B5F-A474-BEC15F5BFE5A}"/>
    <hyperlink ref="A33" r:id="rId94" display="https://www.iposcoop.com/ipo/foghorn-therapeutics-inc/" xr:uid="{9DBE0D66-14FA-4610-83C7-F240344B5732}"/>
    <hyperlink ref="B33" r:id="rId95" display="http://finance.yahoo.com/q?s=FHTX" xr:uid="{D22E6053-B387-4DC1-96B3-488F2D52A3AF}"/>
    <hyperlink ref="C33" r:id="rId96" display="https://www.iposcoop.com/specific-industry/?industry=Health_Care&amp;justPriced=1" xr:uid="{B976EC31-7200-405E-900C-D10CB0079D6B}"/>
    <hyperlink ref="A34" r:id="rId97" display="https://www.iposcoop.com/ipo/abcam-plc/" xr:uid="{DEE276D4-469F-4833-BDBB-E2AA5FDC7D7C}"/>
    <hyperlink ref="B34" r:id="rId98" display="http://finance.yahoo.com/q?s=ABCM" xr:uid="{89AD39C8-BC52-4FA8-8279-6CCC74FCA429}"/>
    <hyperlink ref="C34" r:id="rId99" display="https://www.iposcoop.com/specific-industry/?industry=Health_Care&amp;justPriced=1" xr:uid="{84A2611C-32B1-4BB6-A7C9-3A1415DD91D8}"/>
    <hyperlink ref="A35" r:id="rId100" display="https://www.iposcoop.com/ipo/bcls-acquisition-corp/" xr:uid="{7DCEBB92-3652-4BC0-B829-A6ED9F17C144}"/>
    <hyperlink ref="B35" r:id="rId101" display="http://finance.yahoo.com/q?s=BLSA" xr:uid="{C8418374-0A54-4C76-907F-130239B5EF2E}"/>
    <hyperlink ref="C35" r:id="rId102" display="https://www.iposcoop.com/specific-industry/?industry=Blank_Check&amp;justPriced=1" xr:uid="{CFC4106F-85EC-40B3-9353-6E2B6DF44FB5}"/>
    <hyperlink ref="A36" r:id="rId103" display="https://www.iposcoop.com/ipo/guild-holdings-company/" xr:uid="{561D2048-6D90-472E-8CFE-9787843E7ADC}"/>
    <hyperlink ref="B36" r:id="rId104" display="http://finance.yahoo.com/q?s=GHLD" xr:uid="{813EEE47-B183-4AF0-9659-28388F3585EB}"/>
    <hyperlink ref="C36" r:id="rId105" display="https://www.iposcoop.com/specific-industry/?industry=Financials&amp;justPriced=1" xr:uid="{3A032877-08FA-4570-8345-CCDB97844BB1}"/>
    <hyperlink ref="A37" r:id="rId106" display="https://www.iposcoop.com/ipo/mcafee-corp/" xr:uid="{73359AB0-5B90-47D2-8224-02060FB2A4D1}"/>
    <hyperlink ref="B37" r:id="rId107" display="http://finance.yahoo.com/q?s=MCFE" xr:uid="{23B37677-7727-4502-947A-34C0A2885BDE}"/>
    <hyperlink ref="C37" r:id="rId108" display="https://www.iposcoop.com/specific-industry/?industry=Technology&amp;justPriced=1" xr:uid="{4F4A90F3-8EAF-4750-B7DB-222A965BEBDE}"/>
    <hyperlink ref="A38" r:id="rId109" display="https://www.iposcoop.com/ipo/datto-holding-corp/" xr:uid="{3BE9E778-D9FD-48EA-A8E5-09695B7680CA}"/>
    <hyperlink ref="B38" r:id="rId110" display="http://finance.yahoo.com/q?s=MSP" xr:uid="{53C5116F-CD9A-4639-974C-9703BDDB1D0D}"/>
    <hyperlink ref="C38" r:id="rId111" display="https://www.iposcoop.com/specific-industry/?industry=Technology&amp;justPriced=1" xr:uid="{B91F7DCE-81B0-4F11-9AAF-C07847BF9E8C}"/>
    <hyperlink ref="A39" r:id="rId112" display="https://www.iposcoop.com/ipo/mingzhu-logistics-holdings/" xr:uid="{ACD5ECA7-B327-4B5B-B7C4-A9A7F043B392}"/>
    <hyperlink ref="B39" r:id="rId113" display="http://finance.yahoo.com/q?s=YGMZ" xr:uid="{EC61EE4F-A263-4900-BEA6-8BD82A032930}"/>
    <hyperlink ref="C39" r:id="rId114" display="https://www.iposcoop.com/specific-industry/?industry=Consumer_Services&amp;justPriced=1" xr:uid="{EABC7082-6070-40A5-830E-3C68A820765B}"/>
    <hyperlink ref="A40" r:id="rId115" display="https://www.iposcoop.com/ipo/helix-acquisition-corp/" xr:uid="{A8FABD89-B331-45EB-9D28-0AB04802DBC6}"/>
    <hyperlink ref="B40" r:id="rId116" display="http://finance.yahoo.com/q?s=HLXA" xr:uid="{C7ED0EE7-4C47-44DF-85BD-76DF9FEA5697}"/>
    <hyperlink ref="C40" r:id="rId117" display="https://www.iposcoop.com/specific-industry/?industry=Blank_Check&amp;justPriced=1" xr:uid="{90AC8B3E-947E-4EAD-9BD0-6533FE773DF7}"/>
    <hyperlink ref="A41" r:id="rId118" display="https://www.iposcoop.com/ipo/aligos-therapeutics-inc/" xr:uid="{3045040E-1FA8-46AC-A015-EB8AB2F44A1F}"/>
    <hyperlink ref="B41" r:id="rId119" display="http://finance.yahoo.com/q?s=ALGS" xr:uid="{1111A440-18AC-41BC-8430-35F1177C80D6}"/>
    <hyperlink ref="C41" r:id="rId120" display="https://www.iposcoop.com/specific-industry/?industry=Health_Care&amp;justPriced=1" xr:uid="{4219FD6B-CE3C-44D0-A78B-498CFEEE40B1}"/>
    <hyperlink ref="A42" r:id="rId121" display="https://www.iposcoop.com/ipo/eargo-inc/" xr:uid="{369D1E30-A749-4851-9C4C-04B9131C18EE}"/>
    <hyperlink ref="B42" r:id="rId122" display="http://finance.yahoo.com/q?s=EAR" xr:uid="{742ED7DF-C554-495A-893F-345BBC01F7AF}"/>
    <hyperlink ref="C42" r:id="rId123" display="https://www.iposcoop.com/specific-industry/?industry=Health_Care&amp;justPriced=1" xr:uid="{42DDF855-C698-4E72-BA50-6C1204D5FDF4}"/>
    <hyperlink ref="A43" r:id="rId124" display="https://www.iposcoop.com/ipo/kiromic-biopharma/" xr:uid="{D4D40CEA-5CCF-43C1-B383-AE15C984D907}"/>
    <hyperlink ref="B43" r:id="rId125" display="http://finance.yahoo.com/q?s=KRBP" xr:uid="{F5B32D9F-9014-4A6D-B580-10F2E1D6F834}"/>
    <hyperlink ref="C43" r:id="rId126" display="https://www.iposcoop.com/specific-industry/?industry=Health_Care&amp;justPriced=1" xr:uid="{48F3C0A1-2868-4D34-9313-A6D05294B5E9}"/>
    <hyperlink ref="A44" r:id="rId127" display="https://www.iposcoop.com/ipo/praxis-precision-medicines-inc/" xr:uid="{0205177D-99B2-4F97-B3A7-DD63B7B0077C}"/>
    <hyperlink ref="B44" r:id="rId128" display="http://finance.yahoo.com/q?s=PRAX" xr:uid="{6AA21D46-746B-4CA4-AA35-84626F0593D4}"/>
    <hyperlink ref="C44" r:id="rId129" display="https://www.iposcoop.com/specific-industry/?industry=Health_Care&amp;justPriced=1" xr:uid="{975AD94B-493B-4D80-83FD-541D70BCE4E3}"/>
    <hyperlink ref="A45" r:id="rId130" display="https://www.iposcoop.com/ipo/tarsus-pharmaceuticals-inc/" xr:uid="{02E85894-800B-4FD4-B725-39FAE1390F24}"/>
    <hyperlink ref="B45" r:id="rId131" display="http://finance.yahoo.com/q?s=TARS" xr:uid="{709D8C0A-11E4-46FD-8687-0765B96FA72C}"/>
    <hyperlink ref="C45" r:id="rId132" display="https://www.iposcoop.com/specific-industry/?industry=Health_Care&amp;justPriced=1" xr:uid="{7A5011D2-8DD7-487B-9F8B-70E04D0909DB}"/>
    <hyperlink ref="A46" r:id="rId133" display="https://www.iposcoop.com/ipo/array-technologies-inc/" xr:uid="{0B1BEB8B-CB19-4C95-B923-C746763FB8E4}"/>
    <hyperlink ref="B46" r:id="rId134" display="http://finance.yahoo.com/q?s=ARRY" xr:uid="{610A9A8C-D7C6-4078-B33D-595EE6D501DC}"/>
    <hyperlink ref="C46" r:id="rId135" display="https://www.iposcoop.com/specific-industry/?industry=Industrials&amp;justPriced=1" xr:uid="{1C34625D-3819-4B30-BB69-64A6B776E25B}"/>
    <hyperlink ref="A47" r:id="rId136" display="https://www.iposcoop.com/ipo/miniso-group-holding-limited/" xr:uid="{C1CF26A9-E7E6-4248-B9EF-016332A3E07B}"/>
    <hyperlink ref="B47" r:id="rId137" display="http://finance.yahoo.com/q?s=MNSO" xr:uid="{738D0A5C-8E8F-44C6-BD3C-847F3D315CA1}"/>
    <hyperlink ref="C47" r:id="rId138" display="https://www.iposcoop.com/specific-industry/?industry=Consumer_Goods&amp;justPriced=1" xr:uid="{CAC2FAA9-52EE-46F3-9F5B-88D5AD6F989E}"/>
    <hyperlink ref="A48" r:id="rId139" display="https://www.iposcoop.com/ipo/codiak-biosciences-inc/" xr:uid="{4E99E27E-B3C7-417D-9616-A4908AC77ADB}"/>
    <hyperlink ref="B48" r:id="rId140" display="http://finance.yahoo.com/q?s=CDAK" xr:uid="{FAA58AD5-7BAE-4EBB-841C-080A43B31C19}"/>
    <hyperlink ref="C48" r:id="rId141" display="https://www.iposcoop.com/specific-industry/?industry=Health_Care&amp;justPriced=1" xr:uid="{AA767929-78B6-4DB3-A4F8-D3374B07B59F}"/>
    <hyperlink ref="A49" r:id="rId142" display="https://www.iposcoop.com/ipo/ihuman-inc/" xr:uid="{BD15C887-DFAD-4DF1-9971-9693FDDA2AF3}"/>
    <hyperlink ref="B49" r:id="rId143" display="http://finance.yahoo.com/q?s=IH" xr:uid="{CD684F0E-83E5-45EA-91D7-A1C50418F709}"/>
    <hyperlink ref="C49" r:id="rId144" display="https://www.iposcoop.com/specific-industry/?industry=Consumer_Services&amp;justPriced=1" xr:uid="{9C6A613A-B565-413D-B8D1-8473C8DF0FF2}"/>
    <hyperlink ref="A50" r:id="rId145" display="https://www.iposcoop.com/ipo/kronos-bio-inc/" xr:uid="{1EDEA1D1-0AA8-45CE-9F20-6E3C048236A7}"/>
    <hyperlink ref="B50" r:id="rId146" display="http://finance.yahoo.com/q?s=KRON" xr:uid="{1F89311D-4CBB-4366-95DE-1D8DF51BECDC}"/>
    <hyperlink ref="C50" r:id="rId147" display="https://www.iposcoop.com/specific-industry/?industry=Health_Care&amp;justPriced=1" xr:uid="{3C373ACB-644E-4423-83EC-8BF8276B86D0}"/>
    <hyperlink ref="A51" r:id="rId148" display="https://www.iposcoop.com/ipo/spruce-biosciences-inc/" xr:uid="{34072DDC-294A-40BF-9447-9E476ACB7026}"/>
    <hyperlink ref="B51" r:id="rId149" display="http://finance.yahoo.com/q?s=SPRB" xr:uid="{18173595-D30A-4843-8768-E5B5A578AFD7}"/>
    <hyperlink ref="C51" r:id="rId150" display="https://www.iposcoop.com/specific-industry/?industry=Health_Care&amp;justPriced=1" xr:uid="{88190769-B682-4CB8-AA73-5940F230A56B}"/>
    <hyperlink ref="A52" r:id="rId151" display="https://www.iposcoop.com/ipo/aziyo-biologics-inc/" xr:uid="{6C1FE6B9-4FD6-40D8-98A8-08999A063652}"/>
    <hyperlink ref="B52" r:id="rId152" display="http://finance.yahoo.com/q?s=AZYO" xr:uid="{9243761B-5B6F-4D2B-A7AA-2AD8EF5D4395}"/>
    <hyperlink ref="C52" r:id="rId153" display="https://www.iposcoop.com/specific-industry/?industry=Health_Care&amp;justPriced=1" xr:uid="{3147229B-6279-4942-AAC7-8FF74E076E20}"/>
    <hyperlink ref="A53" r:id="rId154" display="https://www.iposcoop.com/ipo/fubotv-inc-formerly-facebank-group-inc/" xr:uid="{DE70A189-49F1-4E08-B40E-465A14B16C0D}"/>
    <hyperlink ref="B53" r:id="rId155" display="http://finance.yahoo.com/q?s=FUBO" xr:uid="{79A3F0AF-741A-4CB0-8AB9-A7BCA932BD34}"/>
    <hyperlink ref="C53" r:id="rId156" display="https://www.iposcoop.com/specific-industry/?industry=Consumer_Services&amp;justPriced=1" xr:uid="{9D6FA183-1222-4E5D-A5F5-3797029AD2BF}"/>
    <hyperlink ref="A54" r:id="rId157" display="https://www.iposcoop.com/ipo/presidio-property-trust/" xr:uid="{40386CD8-5BB4-4A45-8894-8ECBFE735733}"/>
    <hyperlink ref="B54" r:id="rId158" display="http://finance.yahoo.com/q?s=SQFT" xr:uid="{38AF6040-398C-4F33-9C42-4ADCF5F6A352}"/>
    <hyperlink ref="C54" r:id="rId159" display="https://www.iposcoop.com/specific-industry/?industry=Financials&amp;justPriced=1" xr:uid="{ABBB292E-BF5C-40C4-A261-A8D9D026BD73}"/>
    <hyperlink ref="A55" r:id="rId160" display="https://www.iposcoop.com/ipo/academy-sports-outdoors/" xr:uid="{EBE06D15-07C1-4D48-A575-7AD0A739873F}"/>
    <hyperlink ref="B55" r:id="rId161" display="http://finance.yahoo.com/q?s=ASO" xr:uid="{D40E381F-1C56-49D1-B7BF-49372646C0E6}"/>
    <hyperlink ref="C55" r:id="rId162" display="https://www.iposcoop.com/specific-industry/?industry=Consumer_Goods&amp;justPriced=1" xr:uid="{0E51FFC7-DD3D-42A0-A99B-7E8EA77AA289}"/>
    <hyperlink ref="A56" r:id="rId163" display="https://www.iposcoop.com/ipo/c4-therapeutics-inc/" xr:uid="{FC5B3230-CB97-4CD5-9BD2-2AFB413ABC75}"/>
    <hyperlink ref="B56" r:id="rId164" display="http://finance.yahoo.com/q?s=CCCC" xr:uid="{B2270401-2985-4D30-BBAE-7AECAB6AE64B}"/>
    <hyperlink ref="C56" r:id="rId165" display="https://www.iposcoop.com/specific-industry/?industry=Health_Care&amp;justPriced=1" xr:uid="{95410BA7-E552-42AD-9BD5-4532FDE646E1}"/>
    <hyperlink ref="A57" r:id="rId166" display="https://www.iposcoop.com/ipo/immunome-inc-2/" xr:uid="{D929B338-AE37-4E6B-96D5-E2FB2E2A9DE6}"/>
    <hyperlink ref="B57" r:id="rId167" display="http://finance.yahoo.com/q?s=IMNM" xr:uid="{A7CE199D-9CE4-42B4-9CC7-ECD19DFCD7DF}"/>
    <hyperlink ref="C57" r:id="rId168" display="https://www.iposcoop.com/specific-industry/?industry=Health_Care&amp;justPriced=1" xr:uid="{3B5BB6DC-3A1E-4D33-BCDD-A50B07F23297}"/>
    <hyperlink ref="A58" r:id="rId169" display="https://www.iposcoop.com/ipo/oncorus-inc/" xr:uid="{B870EF54-EFBC-4D01-B81B-C4D8BE7A276C}"/>
    <hyperlink ref="B58" r:id="rId170" display="http://finance.yahoo.com/q?s=ONCR" xr:uid="{F04BB733-7F53-405C-8386-FD2DED4986F5}"/>
    <hyperlink ref="C58" r:id="rId171" display="https://www.iposcoop.com/specific-industry/?industry=Health_Care&amp;justPriced=1" xr:uid="{73FB1922-0CCB-4561-8520-B2F25C49554D}"/>
    <hyperlink ref="A59" r:id="rId172" display="https://www.iposcoop.com/ipo/lixiang-education-holding-co-ltd/" xr:uid="{EBDD5814-15F6-4B2E-B809-BA234546C4AF}"/>
    <hyperlink ref="B59" r:id="rId173" display="http://finance.yahoo.com/q?s=LXEH" xr:uid="{04A8C24C-8CB7-4A5B-9C35-3280DB00BAC0}"/>
    <hyperlink ref="C59" r:id="rId174" display="https://www.iposcoop.com/specific-industry/?industry=Consumer_Services&amp;justPriced=1" xr:uid="{DE50AFEF-E14C-4150-99EC-007BDBA14D63}"/>
    <hyperlink ref="A60" r:id="rId175" display="https://www.iposcoop.com/ipo/mission-produce-inc/" xr:uid="{0F266C40-7E74-4749-AC3F-726018D0796B}"/>
    <hyperlink ref="B60" r:id="rId176" display="http://finance.yahoo.com/q?s=AVO" xr:uid="{7CF56953-310C-4261-92A6-55748D31DD7A}"/>
    <hyperlink ref="C60" r:id="rId177" display="https://www.iposcoop.com/specific-industry/?industry=Consumer_Goods&amp;justPriced=1" xr:uid="{76591DAA-2AF2-4A54-9C96-4B53D9F7259D}"/>
    <hyperlink ref="A61" r:id="rId178" display="https://www.iposcoop.com/ipo/pulmonx-corp/" xr:uid="{885485FB-4A41-4CA5-83D1-58483F7B2BFB}"/>
    <hyperlink ref="B61" r:id="rId179" display="http://finance.yahoo.com/q?s=LUNG" xr:uid="{2CFA0E85-A0AD-402D-A9A7-7FD439C922A7}"/>
    <hyperlink ref="C61" r:id="rId180" display="https://www.iposcoop.com/specific-industry/?industry=Health_Care&amp;justPriced=1" xr:uid="{A2913914-542F-4670-BD98-C4AFC421556F}"/>
    <hyperlink ref="A62" r:id="rId181" display="https://www.iposcoop.com/ipo/thryv-holdings-inc/" xr:uid="{A545755D-4BE0-4CBA-BFB9-2AC131DB2C07}"/>
    <hyperlink ref="B62" r:id="rId182" display="http://finance.yahoo.com/q?s=THRY" xr:uid="{B5A22E89-17F4-4DAF-BC98-D8F27A2E06B7}"/>
    <hyperlink ref="C62" r:id="rId183" display="https://www.iposcoop.com/specific-industry/?industry=Consumer_Services&amp;justPriced=1" xr:uid="{DCC2D442-4E44-4369-8B6C-AE33E143359F}"/>
    <hyperlink ref="A63" r:id="rId184" display="https://www.iposcoop.com/ipo/boqii-holding-limited/" xr:uid="{15F4871E-E016-4A7C-95ED-710B0804B9FD}"/>
    <hyperlink ref="B63" r:id="rId185" display="http://finance.yahoo.com/q?s=BQ" xr:uid="{F067DAA3-3BE9-40A0-B808-13B0EE6CD6B9}"/>
    <hyperlink ref="C63" r:id="rId186" display="https://www.iposcoop.com/specific-industry/?industry=Consumer_Goods&amp;justPriced=1" xr:uid="{4F5F08F6-48A8-45BB-B01E-75E499801709}"/>
    <hyperlink ref="A64" r:id="rId187" display="https://www.iposcoop.com/ipo/chindata-group-holdings-limited/" xr:uid="{C04B7595-CBBF-4375-AEFF-5D386D918225}"/>
    <hyperlink ref="B64" r:id="rId188" display="http://finance.yahoo.com/q?s=CD" xr:uid="{5B46FF7E-061E-4C06-ACB3-9495DAE936D0}"/>
    <hyperlink ref="C64" r:id="rId189" display="https://www.iposcoop.com/specific-industry/?industry=Technology&amp;justPriced=1" xr:uid="{86FAF1A9-FDE0-4F8A-86D4-BFDE6F170F31}"/>
    <hyperlink ref="A65" r:id="rId190" display="https://www.iposcoop.com/ipo/palantir-technologies/" xr:uid="{01781A9C-0949-4068-9BB3-DBB100356A19}"/>
    <hyperlink ref="B65" r:id="rId191" display="http://finance.yahoo.com/q?s=PLTR" xr:uid="{123EBA02-0A79-4F09-9243-AECFDC398AA0}"/>
    <hyperlink ref="C65" r:id="rId192" display="https://www.iposcoop.com/specific-industry/?industry=Technology&amp;justPriced=1" xr:uid="{0C5015EA-EDD7-4E26-AFD4-02C189198F4D}"/>
    <hyperlink ref="A66" r:id="rId193" display="https://www.iposcoop.com/ipo/yalla-group-limited/" xr:uid="{E9DACF4C-C793-48CF-8525-229D3C481B19}"/>
    <hyperlink ref="B66" r:id="rId194" display="http://finance.yahoo.com/q?s=YALA" xr:uid="{631DE932-9F09-4E4F-A5BA-DB70786F06B8}"/>
    <hyperlink ref="C66" r:id="rId195" display="https://www.iposcoop.com/specific-industry/?industry=Technology&amp;justPriced=1" xr:uid="{91EEC23B-10C4-4C59-A8EE-70491E34B485}"/>
    <hyperlink ref="A67" r:id="rId196" display="https://www.iposcoop.com/ipo/orphazyme-as/" xr:uid="{A999A566-7E44-48F6-BED3-412BB32DCC1B}"/>
    <hyperlink ref="B67" r:id="rId197" display="http://finance.yahoo.com/q?s=ORPH" xr:uid="{3E0B2723-D000-4ACA-A9C7-CCA8327E9B99}"/>
    <hyperlink ref="C67" r:id="rId198" display="https://www.iposcoop.com/specific-industry/?industry=Health_Care&amp;justPriced=1" xr:uid="{AFB6B86F-A13F-492E-9269-9E271D7E597B}"/>
    <hyperlink ref="A68" r:id="rId199" display="https://www.iposcoop.com/ipo/amesite/" xr:uid="{AC882B38-0227-48C9-A3BA-330ACB117A38}"/>
    <hyperlink ref="B68" r:id="rId200" display="http://finance.yahoo.com/q?s=AMST" xr:uid="{76CDB963-2A05-4AC0-B557-B64AC5817E60}"/>
    <hyperlink ref="C68" r:id="rId201" display="https://www.iposcoop.com/specific-industry/?industry=Technology&amp;justPriced=1" xr:uid="{568134E7-B43C-4442-B4AD-7159396976F5}"/>
    <hyperlink ref="A69" r:id="rId202" display="https://www.iposcoop.com/ipo/graybug-vision-inc/" xr:uid="{A5B265C3-64EF-49E0-8268-85A3685A0E16}"/>
    <hyperlink ref="B69" r:id="rId203" display="http://finance.yahoo.com/q?s=GRAY" xr:uid="{E6BC7FAC-D0B0-4C7A-BC1A-9782C4640C72}"/>
    <hyperlink ref="C69" r:id="rId204" display="https://www.iposcoop.com/specific-industry/?industry=Health_Care&amp;justPriced=1" xr:uid="{4803D375-7A6A-47C0-93CD-B61C965C33F4}"/>
    <hyperlink ref="A70" r:id="rId205" display="https://www.iposcoop.com/ipo/greenwich-lifesciences/" xr:uid="{3FCC6BBF-7645-4FF3-AFB8-656926A40E79}"/>
    <hyperlink ref="B70" r:id="rId206" display="http://finance.yahoo.com/q?s=GLSI" xr:uid="{E82BAE58-ACEE-4DE5-8E76-581C76B11673}"/>
    <hyperlink ref="C70" r:id="rId207" display="https://www.iposcoop.com/specific-industry/?industry=Health_Care&amp;justPriced=1" xr:uid="{A9DF697F-70DD-48D5-81E6-23FD497BAD04}"/>
    <hyperlink ref="A71" r:id="rId208" display="https://www.iposcoop.com/ipo/pmv-pharmaceuticals-inc/" xr:uid="{B84DF9B9-2678-465E-B318-F713FAF48D04}"/>
    <hyperlink ref="B71" r:id="rId209" display="http://finance.yahoo.com/q?s=PMVP" xr:uid="{4060D288-7751-47AB-B9D8-86007C8E85EA}"/>
    <hyperlink ref="C71" r:id="rId210" display="https://www.iposcoop.com/specific-industry/?industry=Health_Care&amp;justPriced=1" xr:uid="{6E92475D-BE39-4DCE-9865-F6C378556D80}"/>
    <hyperlink ref="A72" r:id="rId211" display="https://www.iposcoop.com/ipo/prelude-therapeutics/" xr:uid="{7DD40F9D-169B-4F0F-B023-C5C9B23A7D22}"/>
    <hyperlink ref="B72" r:id="rId212" display="http://finance.yahoo.com/q?s=PRLD" xr:uid="{5D6C3B9F-DBE0-4F57-A9AA-3C2A3A1CEFE5}"/>
    <hyperlink ref="C72" r:id="rId213" display="https://www.iposcoop.com/specific-industry/?industry=Health_Care&amp;justPriced=1" xr:uid="{D5106C05-DCD7-453B-9CCB-443C9ADB1409}"/>
    <hyperlink ref="A73" r:id="rId214" display="https://www.iposcoop.com/ipo/via-optronics-ag/" xr:uid="{4404CE13-4CDC-4EDE-BADE-224ABE10316C}"/>
    <hyperlink ref="B73" r:id="rId215" display="http://finance.yahoo.com/q?s=VIAO" xr:uid="{7B179829-88F8-4DD3-A6E5-0395E46694AB}"/>
    <hyperlink ref="C73" r:id="rId216" display="https://www.iposcoop.com/specific-industry/?industry=Technology&amp;justPriced=1" xr:uid="{2A76BE24-233A-4672-8767-3B0E6648BAA4}"/>
    <hyperlink ref="A74" r:id="rId217" display="https://www.iposcoop.com/ipo/taysha-gene-therapies-inc/" xr:uid="{D853AC7B-42D6-4A3D-A909-0B8D45207E2F}"/>
    <hyperlink ref="B74" r:id="rId218" display="http://finance.yahoo.com/q?s=TSHA" xr:uid="{88800AE2-FC26-4F66-BF0C-95B67CDF2945}"/>
    <hyperlink ref="C74" r:id="rId219" display="https://www.iposcoop.com/specific-industry/?industry=Health_Care&amp;justPriced=1" xr:uid="{BD5F4E8E-98AD-4F1D-AC61-549457A26CD0}"/>
    <hyperlink ref="A75" r:id="rId220" display="https://www.iposcoop.com/ipo/bentley-systems/" xr:uid="{EF2D4644-E59A-44FC-8ADF-914D998C583D}"/>
    <hyperlink ref="B75" r:id="rId221" display="http://finance.yahoo.com/q?s=BSY" xr:uid="{95279B7C-3964-46BE-8E69-697E39B68B69}"/>
    <hyperlink ref="C75" r:id="rId222" display="https://www.iposcoop.com/specific-industry/?industry=Technology&amp;justPriced=1" xr:uid="{1C8CEDD2-9860-48BC-866F-1928E5A43A1A}"/>
    <hyperlink ref="A76" r:id="rId223" display="https://www.iposcoop.com/ipo/corsair-gaming/" xr:uid="{AD4D0A4E-A9B5-4F8A-846B-6B334BCBFCA3}"/>
    <hyperlink ref="B76" r:id="rId224" display="http://finance.yahoo.com/q?s=CRSR" xr:uid="{41DF0EB5-C5D1-4C66-9F4E-80D120E36F1B}"/>
    <hyperlink ref="C76" r:id="rId225" display="https://www.iposcoop.com/specific-industry/?industry=Technology&amp;justPriced=1" xr:uid="{B37964F4-A7ED-42CB-A86F-F08844AA7301}"/>
    <hyperlink ref="A77" r:id="rId226" display="https://www.iposcoop.com/ipo/goodrx-holdings/" xr:uid="{19DF1DCC-9F6B-4629-879D-4187ADA4B5D5}"/>
    <hyperlink ref="B77" r:id="rId227" display="http://finance.yahoo.com/q?s=GDRX" xr:uid="{FEFE9289-33A1-4F3E-B535-22F641DDF303}"/>
    <hyperlink ref="C77" r:id="rId228" display="https://www.iposcoop.com/specific-industry/?industry=Technology&amp;justPriced=1" xr:uid="{C51B22C9-CDC2-4604-99AB-58D6B87C6D88}"/>
    <hyperlink ref="A78" r:id="rId229" display="https://www.iposcoop.com/ipo/laird-superfood-inc/" xr:uid="{DF0DAF73-3279-4F95-9008-1535DF1F7D8C}"/>
    <hyperlink ref="B78" r:id="rId230" display="http://finance.yahoo.com/q?s=LSF" xr:uid="{E842094F-505E-4CAD-8459-1F7407116438}"/>
    <hyperlink ref="C78" r:id="rId231" display="https://www.iposcoop.com/specific-industry/?industry=Consumer_Goods&amp;justPriced=1" xr:uid="{CA7B0ADE-FA85-4E68-B923-494AA4434EF1}"/>
    <hyperlink ref="A79" r:id="rId232" display="https://www.iposcoop.com/ipo/athira-pharma/" xr:uid="{11BDB169-46AF-480D-AE0F-A4B85486A058}"/>
    <hyperlink ref="B79" r:id="rId233" display="http://finance.yahoo.com/q?s=ATHA" xr:uid="{711C02C7-59E0-4048-A71F-6025E124D479}"/>
    <hyperlink ref="C79" r:id="rId234" display="https://www.iposcoop.com/specific-industry/?industry=Health_Care&amp;justPriced=1" xr:uid="{BF16803C-B769-4137-B70C-A2F3903BD9C8}"/>
    <hyperlink ref="A80" r:id="rId235" display="https://www.iposcoop.com/ipo/compass-pathways-plc/" xr:uid="{F886C852-134E-4DC2-B7C9-C10012F8231B}"/>
    <hyperlink ref="B80" r:id="rId236" display="http://finance.yahoo.com/q?s=CMPS" xr:uid="{6FA1FDBE-F2B9-4CA9-9E73-FF8A17AE17E6}"/>
    <hyperlink ref="C80" r:id="rId237" display="https://www.iposcoop.com/specific-industry/?industry=Health_Care&amp;justPriced=1" xr:uid="{A689D463-DBBC-4E17-B1C2-18C1116A129B}"/>
    <hyperlink ref="A81" r:id="rId238" display="https://www.iposcoop.com/ipo/unity-software-inc/" xr:uid="{5E2768CC-7442-48C2-96F5-716F5F56A3E1}"/>
    <hyperlink ref="B81" r:id="rId239" display="http://finance.yahoo.com/q?s=U" xr:uid="{ABF56272-7AB5-44C8-988E-3A90C39FF0A0}"/>
    <hyperlink ref="C81" r:id="rId240" display="https://www.iposcoop.com/specific-industry/?industry=Technology&amp;justPriced=1" xr:uid="{1B29630C-20C4-49F9-A89A-923FA238893E}"/>
    <hyperlink ref="A82" r:id="rId241" display="https://www.iposcoop.com/ipo/vitru-ltd/" xr:uid="{F350A23D-BDF2-4890-9898-615569F98701}"/>
    <hyperlink ref="B82" r:id="rId242" display="http://finance.yahoo.com/q?s=VTRU" xr:uid="{BE3DEE33-4A8A-486F-82F3-3A133CBA6061}"/>
    <hyperlink ref="C82" r:id="rId243" display="https://www.iposcoop.com/specific-industry/?industry=Consumer_Services&amp;justPriced=1" xr:uid="{1818160D-91A2-4769-BE88-2B257AE301AF}"/>
    <hyperlink ref="A83" r:id="rId244" display="https://www.iposcoop.com/ipo/american-well-corp/" xr:uid="{7BA00AFF-2919-4185-8526-A6D7421EDB10}"/>
    <hyperlink ref="B83" r:id="rId245" display="http://finance.yahoo.com/q?s=AMWL" xr:uid="{59600A34-CA62-4C01-8BDF-9122BB02D7AA}"/>
    <hyperlink ref="C83" r:id="rId246" display="https://www.iposcoop.com/specific-industry/?industry=Health_Care&amp;justPriced=1" xr:uid="{19F97770-95CB-4570-9236-5B45B688935F}"/>
    <hyperlink ref="A84" r:id="rId247" display="https://www.iposcoop.com/ipo/broadstone-net-lease-2/" xr:uid="{74C9AC93-BB55-4AB6-BC7D-E6469937523C}"/>
    <hyperlink ref="B84" r:id="rId248" display="http://finance.yahoo.com/q?s=BNL" xr:uid="{C7E06166-A367-45CB-BDED-F0F541400D02}"/>
    <hyperlink ref="C84" r:id="rId249" display="https://www.iposcoop.com/specific-industry/?industry=Financials&amp;justPriced=1" xr:uid="{7DC7CA4B-7B57-4C0B-8087-B04FD28484B3}"/>
    <hyperlink ref="A85" r:id="rId250" display="https://www.iposcoop.com/ipo/pactiv-evergreen-inc/" xr:uid="{A9E0C151-5D5E-43A5-A2FA-9C3AD185A30E}"/>
    <hyperlink ref="B85" r:id="rId251" display="http://finance.yahoo.com/q?s=PTVE" xr:uid="{2A243002-0084-44C4-84EC-5E3714FAB42D}"/>
    <hyperlink ref="C85" r:id="rId252" display="https://www.iposcoop.com/specific-industry/?industry=Consumer_Goods&amp;justPriced=1" xr:uid="{6F00317F-1ECE-45A3-832F-D9C10372D9F5}"/>
    <hyperlink ref="A86" r:id="rId253" display="https://www.iposcoop.com/ipo/sumo-logic-inc/" xr:uid="{E792ADB7-EB81-459D-A3A4-61741F374F91}"/>
    <hyperlink ref="B86" r:id="rId254" display="http://finance.yahoo.com/q?s=SUMO" xr:uid="{7D8474E3-BD27-4894-BABC-9187C59F37B1}"/>
    <hyperlink ref="C86" r:id="rId255" display="https://www.iposcoop.com/specific-industry/?industry=Technology&amp;justPriced=1" xr:uid="{56F11EC1-C08D-43B3-A478-48C909194134}"/>
    <hyperlink ref="A87" r:id="rId256" display="https://www.iposcoop.com/ipo/applied-uv-inc/" xr:uid="{6B011CD5-9AC1-436A-BDDD-B6795F570893}"/>
    <hyperlink ref="B87" r:id="rId257" display="http://finance.yahoo.com/q?s=AUVI" xr:uid="{37A55C4A-CF89-4C76-BE2C-B4602DC1513C}"/>
    <hyperlink ref="C87" r:id="rId258" display="https://www.iposcoop.com/specific-industry/?industry=Consumer_Goods&amp;justPriced=1" xr:uid="{7FC5BC9A-D886-44A9-B60A-F7B2AFBE960D}"/>
    <hyperlink ref="A88" r:id="rId259" display="https://www.iposcoop.com/ipo/harbor-custom-development/" xr:uid="{BE558E31-D62C-4414-806A-25DF4A0E007C}"/>
    <hyperlink ref="B88" r:id="rId260" display="http://finance.yahoo.com/q?s=HCDI" xr:uid="{5E978341-39FE-4520-8EF0-29DF60A05BB4}"/>
    <hyperlink ref="C88" r:id="rId261" display="https://www.iposcoop.com/specific-industry/?industry=Financials&amp;justPriced=1" xr:uid="{724A6C22-EE50-49B4-B68B-55D84B825856}"/>
    <hyperlink ref="A89" r:id="rId262" display="https://www.iposcoop.com/ipo/xpeng/" xr:uid="{D4306AB2-C1B4-4B77-B883-6266F97AFC7F}"/>
    <hyperlink ref="B89" r:id="rId263" display="http://finance.yahoo.com/q?s=XPEV" xr:uid="{84952407-DB2C-4622-974C-5D0EE7FD7BB2}"/>
    <hyperlink ref="C89" r:id="rId264" display="https://www.iposcoop.com/specific-industry/?industry=Consumer_Goods&amp;justPriced=1" xr:uid="{16E3DFA5-E53D-4B5C-BD99-F6F590591AC6}"/>
    <hyperlink ref="A90" r:id="rId265" display="https://www.iposcoop.com/ipo/kymera-therapeutics/" xr:uid="{60023340-18E7-4F8F-B0DB-C2477F685AAE}"/>
    <hyperlink ref="B90" r:id="rId266" display="http://finance.yahoo.com/q?s=KYMR" xr:uid="{B4C63F78-0070-42BA-B3B3-478BB825C1C2}"/>
    <hyperlink ref="C90" r:id="rId267" display="https://www.iposcoop.com/specific-industry/?industry=Health_Care&amp;justPriced=1" xr:uid="{921F23B5-D330-4EFC-9642-A9FBA9097086}"/>
    <hyperlink ref="A91" r:id="rId268" display="https://www.iposcoop.com/ipo/nano-x-imaging/" xr:uid="{CDC6C0A9-9966-4F82-8814-0AE1F6F10178}"/>
    <hyperlink ref="B91" r:id="rId269" display="http://finance.yahoo.com/q?s=NNOX" xr:uid="{12542B79-4DF2-46DE-8E32-DB71A16ACBC4}"/>
    <hyperlink ref="C91" r:id="rId270" display="https://www.iposcoop.com/specific-industry/?industry=Health_Care&amp;justPriced=1" xr:uid="{5163EE66-E767-4355-AA4D-6852BFC0DE32}"/>
    <hyperlink ref="A92" r:id="rId271" display="https://www.iposcoop.com/ipo/harmony-biosciences-holdings/" xr:uid="{149B0F77-FB42-4690-9803-6F4D7B133BCB}"/>
    <hyperlink ref="B92" r:id="rId272" display="http://finance.yahoo.com/q?s=HRMY" xr:uid="{69A6F258-913F-46A2-B081-8F1359CE760D}"/>
    <hyperlink ref="C92" r:id="rId273" display="https://www.iposcoop.com/specific-industry/?industry=Health_Care&amp;justPriced=1" xr:uid="{B6E323C6-8B3D-43CE-8176-779D5757CC09}"/>
    <hyperlink ref="A93" r:id="rId274" display="https://www.iposcoop.com/ipo/inhibrx-inc/" xr:uid="{1E9C17EC-F3E6-4DB2-99A2-5782C976C0E7}"/>
    <hyperlink ref="B93" r:id="rId275" display="http://finance.yahoo.com/q?s=INBX" xr:uid="{DD824AD8-D390-4758-8010-0C8779404A2F}"/>
    <hyperlink ref="C93" r:id="rId276" display="https://www.iposcoop.com/specific-industry/?industry=Health_Care&amp;justPriced=1" xr:uid="{8B629EB5-DB19-44FE-8A44-E3D3EADACD88}"/>
    <hyperlink ref="A94" r:id="rId277" display="https://www.iposcoop.com/ipo/curevac-n-v/" xr:uid="{04EDFAE4-EF22-4DA7-B51F-B24C2AE1D5A0}"/>
    <hyperlink ref="B94" r:id="rId278" display="http://finance.yahoo.com/q?s=CVAC" xr:uid="{511594BA-6083-4C1E-ABD3-22F71F4976CF}"/>
    <hyperlink ref="C94" r:id="rId279" display="https://www.iposcoop.com/specific-industry/?industry=Health_Care&amp;justPriced=1" xr:uid="{054FB37A-CB9C-4FC3-817F-CC9BA9A77580}"/>
    <hyperlink ref="A95" r:id="rId280" display="https://www.iposcoop.com/ipo/duck-creek-technologies/" xr:uid="{1E3F5E63-E881-4D44-8A79-405BA361C562}"/>
    <hyperlink ref="B95" r:id="rId281" display="http://finance.yahoo.com/q?s=DCT" xr:uid="{20BE94B6-5DAA-4C19-84B1-28B6755E964D}"/>
    <hyperlink ref="C95" r:id="rId282" display="https://www.iposcoop.com/specific-industry/?industry=Technology&amp;justPriced=1" xr:uid="{63AEAF9E-0C1B-4C8C-990D-056FC446795B}"/>
    <hyperlink ref="A96" r:id="rId283" display="https://www.iposcoop.com/ipo/netstreit-corp/" xr:uid="{27581E86-D6C7-465B-B5AC-8FDDCF5087D2}"/>
    <hyperlink ref="B96" r:id="rId284" display="http://finance.yahoo.com/q?s=NTST" xr:uid="{F4AC41E5-3EF7-4C5A-B0A3-5B7968B3F6B7}"/>
    <hyperlink ref="C96" r:id="rId285" display="https://www.iposcoop.com/specific-industry/?industry=Financials&amp;justPriced=1" xr:uid="{70F97704-B24C-4A75-90E4-3887C9483961}"/>
    <hyperlink ref="A97" r:id="rId286" display="https://www.iposcoop.com/ipo/fs-development/" xr:uid="{B1B28F6F-875B-400E-98DB-E9D8946EE6C6}"/>
    <hyperlink ref="B97" r:id="rId287" display="http://finance.yahoo.com/q?s=FSDC" xr:uid="{96AB114D-B302-488E-AB88-617DB3CF5941}"/>
    <hyperlink ref="C97" r:id="rId288" display="https://www.iposcoop.com/specific-industry/?industry=Blank_Check&amp;justPriced=1" xr:uid="{1F46459C-6A19-46DA-ABBE-A4CC3CE10F09}"/>
    <hyperlink ref="A98" r:id="rId289" display="https://www.iposcoop.com/ipo/arya-sciences-acquisition-corp-iii/" xr:uid="{F13BBCD3-FD41-491F-8259-CF9054C1179A}"/>
    <hyperlink ref="B98" r:id="rId290" display="http://finance.yahoo.com/q?s=ARYA" xr:uid="{379CB431-9841-4AB5-958E-85897A741CCF}"/>
    <hyperlink ref="C98" r:id="rId291" display="https://www.iposcoop.com/specific-industry/?industry=Blank_Check&amp;justPriced=1" xr:uid="{573C4C5B-E8A2-4D9F-995F-B4EA41256301}"/>
    <hyperlink ref="A99" r:id="rId292" display="https://www.iposcoop.com/ipo/checkmate-pharmaceuticals/" xr:uid="{DAF23D38-2FAB-48BF-8949-3AAC91A8E4F6}"/>
    <hyperlink ref="B99" r:id="rId293" display="http://finance.yahoo.com/q?s=CMPI" xr:uid="{8354DA6A-A612-43A4-BBBF-7D97EA7C55EF}"/>
    <hyperlink ref="C99" r:id="rId294" display="https://www.iposcoop.com/specific-industry/?industry=Health_Care&amp;justPriced=1" xr:uid="{186B59EB-61DC-4B76-ADFE-47532351E774}"/>
    <hyperlink ref="A100" r:id="rId295" display="https://www.iposcoop.com/ipo/freeline-therapeutics-holdings-plc/" xr:uid="{C6CC171B-B485-494E-BE9D-9BB96F186ADB}"/>
    <hyperlink ref="B100" r:id="rId296" display="http://finance.yahoo.com/q?s=FRLN" xr:uid="{E9B9D505-3242-4D43-9FFA-E54EFB4D89F4}"/>
    <hyperlink ref="C100" r:id="rId297" display="https://www.iposcoop.com/specific-industry/?industry=Health_Care&amp;justPriced=1" xr:uid="{DEB679A3-E548-48F3-A535-03AA4EE801D1}"/>
    <hyperlink ref="A101" r:id="rId298" display="https://www.iposcoop.com/ipo/ibex-ltd/" xr:uid="{E4688CC3-1FD3-4900-AF12-3C25B171ACAA}"/>
    <hyperlink ref="B101" r:id="rId299" display="http://finance.yahoo.com/q?s=IBEX" xr:uid="{BD7BCF51-9DB9-4E0F-BA23-B953EBE12BC0}"/>
    <hyperlink ref="C101" r:id="rId300" display="https://www.iposcoop.com/specific-industry/?industry=Technology&amp;justPriced=1" xr:uid="{B4375846-995F-4961-9005-93D54B302BD9}"/>
    <hyperlink ref="A102" r:id="rId301" display="https://www.iposcoop.com/ipo/acutus-medical/" xr:uid="{3A365515-FBAC-4290-A103-E3608F206483}"/>
    <hyperlink ref="B102" r:id="rId302" display="http://finance.yahoo.com/q?s=AFIB" xr:uid="{AEB7BC8D-DCCA-417E-A168-2C41A20F9A49}"/>
    <hyperlink ref="C102" r:id="rId303" display="https://www.iposcoop.com/specific-industry/?industry=Health_Care&amp;justPriced=1" xr:uid="{77016A95-CD87-4A07-8AAB-F36BCBD2B37C}"/>
    <hyperlink ref="A103" r:id="rId304" display="https://www.iposcoop.com/ipo/oak-street-health-inc/" xr:uid="{C758015B-5381-4629-BA1A-28ED54F9451B}"/>
    <hyperlink ref="B103" r:id="rId305" display="http://finance.yahoo.com/q?s=OSH" xr:uid="{79A4D9F8-F397-43E5-9589-BCF95D6F5ADD}"/>
    <hyperlink ref="C103" r:id="rId306" display="https://www.iposcoop.com/specific-industry/?industry=Health_Care&amp;justPriced=1" xr:uid="{5DA7604B-A2A7-4CA5-AABF-3CBFE7CB7085}"/>
    <hyperlink ref="A104" r:id="rId307" display="https://www.iposcoop.com/ipo/rocket-companies/" xr:uid="{BBFA2EE9-93B3-4607-A1EE-391792309A1A}"/>
    <hyperlink ref="B104" r:id="rId308" display="http://finance.yahoo.com/q?s=RKT" xr:uid="{AD268A69-881C-46AD-A9C2-63B201271686}"/>
    <hyperlink ref="C104" r:id="rId309" display="https://www.iposcoop.com/specific-industry/?industry=Financials&amp;justPriced=1" xr:uid="{C52F54C6-B80F-42DA-9ABD-6826B5CCD4DC}"/>
    <hyperlink ref="A105" r:id="rId310" display="https://www.iposcoop.com/ipo/bigcommerce-holdings/" xr:uid="{7377C134-E214-4AC5-895C-18E9ECA9F2B2}"/>
    <hyperlink ref="B105" r:id="rId311" display="http://finance.yahoo.com/q?s=BIGC" xr:uid="{A032C0A8-251D-4B9B-9BB4-2A0F0A3E343D}"/>
    <hyperlink ref="C105" r:id="rId312" display="https://www.iposcoop.com/specific-industry/?industry=Technology&amp;justPriced=1" xr:uid="{69523C9D-BB84-424C-B6F6-E29DB2669A63}"/>
    <hyperlink ref="A106" r:id="rId313" display="https://www.iposcoop.com/ipo/rackspace-technology-inc/" xr:uid="{2CEEF2D0-7697-4DFA-B1A3-9F0CE8045090}"/>
    <hyperlink ref="B106" r:id="rId314" display="http://finance.yahoo.com/q?s=RXT" xr:uid="{9E7F0A5C-ED21-4900-98B1-07B8D909BED5}"/>
    <hyperlink ref="C106" r:id="rId315" display="https://www.iposcoop.com/specific-industry/?industry=Consumer_Services&amp;justPriced=1" xr:uid="{325C4A11-1E2B-4995-8F18-EEE24C45CB67}"/>
    <hyperlink ref="A107" r:id="rId316" display="https://www.iposcoop.com/ipo/health-sciences-acquisitions-corp-2/" xr:uid="{C9C5F5D0-82FE-4DAF-940C-44376D89489A}"/>
    <hyperlink ref="B107" r:id="rId317" display="http://finance.yahoo.com/q?s=HSAQ" xr:uid="{8F458C9B-AD91-48B2-8588-BFD0214F2C1F}"/>
    <hyperlink ref="C107" r:id="rId318" display="https://www.iposcoop.com/specific-industry/?industry=Blank_Check&amp;justPriced=1" xr:uid="{D0D903E8-691D-4410-BDD0-A896E7B70154}"/>
    <hyperlink ref="A108" r:id="rId319" display="https://www.iposcoop.com/ipo/1847-goedeker/" xr:uid="{8730C381-77EC-4CA0-9116-028C6D62AF0C}"/>
    <hyperlink ref="B108" r:id="rId320" display="http://finance.yahoo.com/q?s=GOED" xr:uid="{A568EF38-FC56-42A8-86CC-AF4A7498A664}"/>
    <hyperlink ref="C108" r:id="rId321" display="https://www.iposcoop.com/specific-industry/?industry=Consumer_Goods&amp;justPriced=1" xr:uid="{90CA49D8-1AE9-4CC8-8D32-BAC34BF2289E}"/>
    <hyperlink ref="A109" r:id="rId322" display="https://www.iposcoop.com/ipo/fathom-holdings/" xr:uid="{4B53BEDD-32C1-4B4C-89FD-1BF97A461A13}"/>
    <hyperlink ref="B109" r:id="rId323" display="http://finance.yahoo.com/q?s=FTHM" xr:uid="{4CF78EFA-D9DE-48B6-880D-F0F3EEB8B31A}"/>
    <hyperlink ref="C109" r:id="rId324" display="https://www.iposcoop.com/specific-industry/?industry=Financials&amp;justPriced=1" xr:uid="{1663E219-CB15-42B7-B819-C269F88E3400}"/>
    <hyperlink ref="A110" r:id="rId325" display="https://www.iposcoop.com/ipo/vasta-platform-limited-2/" xr:uid="{C8D692C3-E3B0-4B23-861E-B2373FF3F0C9}"/>
    <hyperlink ref="B110" r:id="rId326" display="http://finance.yahoo.com/q?s=VSTA" xr:uid="{39AEB284-6575-4B58-9F1C-6CDC86814113}"/>
    <hyperlink ref="C110" r:id="rId327" display="https://www.iposcoop.com/specific-industry/?industry=Consumer_Services&amp;justPriced=1" xr:uid="{7D1ADF5F-23AA-4B85-9298-CE438280C207}"/>
    <hyperlink ref="A111" r:id="rId328" display="https://www.iposcoop.com/ipo/vital-farms-inc/" xr:uid="{2137B289-CE13-4A48-BDCB-69B83D8C090F}"/>
    <hyperlink ref="B111" r:id="rId329" display="http://finance.yahoo.com/q?s=VITL" xr:uid="{134AC90A-A766-41E7-A397-2E6ADB6E84E1}"/>
    <hyperlink ref="C111" r:id="rId330" display="https://www.iposcoop.com/specific-industry/?industry=Consumer_Goods&amp;justPriced=1" xr:uid="{8631D208-DD46-48AF-B621-8C7A5814620F}"/>
    <hyperlink ref="A112" r:id="rId331" display="https://www.iposcoop.com/ipo/allovir/" xr:uid="{20B41811-7F48-4BC7-94F5-F59E3C0C283E}"/>
    <hyperlink ref="B112" r:id="rId332" display="http://finance.yahoo.com/q?s=ALVR" xr:uid="{DA9B653C-654C-4BFB-B9A9-161038EA5769}"/>
    <hyperlink ref="C112" r:id="rId333" display="https://www.iposcoop.com/specific-industry/?industry=Health_Care&amp;justPriced=1" xr:uid="{8B2DF7F4-E0D3-43A9-B111-6E8CB0CB27C8}"/>
    <hyperlink ref="A113" r:id="rId334" display="https://www.iposcoop.com/ipo/li-auto/" xr:uid="{9DB048D2-F00E-4B93-8D81-E5E8B5BF1FCC}"/>
    <hyperlink ref="B113" r:id="rId335" display="http://finance.yahoo.com/q?s=LI" xr:uid="{A22FCFF6-DE3E-401A-8FAB-23393D2A6BF4}"/>
    <hyperlink ref="C113" r:id="rId336" display="https://www.iposcoop.com/specific-industry/?industry=Consumer_Goods&amp;justPriced=1" xr:uid="{BBFC04F8-8533-4FC1-97A9-0484F16C12C5}"/>
    <hyperlink ref="A114" r:id="rId337" display="https://www.iposcoop.com/ipo/vertex/" xr:uid="{8F53024F-3CFD-4528-ADA9-2AC5F0F3DA01}"/>
    <hyperlink ref="B114" r:id="rId338" display="http://finance.yahoo.com/q?s=VERX" xr:uid="{2B3E4411-0A0C-4400-8147-6977D6BFAB2C}"/>
    <hyperlink ref="C114" r:id="rId339" display="https://www.iposcoop.com/specific-industry/?industry=Technology&amp;justPriced=1" xr:uid="{C34B5471-B2DA-468C-9374-34D2D9C5F720}"/>
    <hyperlink ref="A115" r:id="rId340" display="https://www.iposcoop.com/ipo/annexon/" xr:uid="{90AFABA6-F288-4AFD-B9A9-EAC9AC96108D}"/>
    <hyperlink ref="B115" r:id="rId341" display="http://finance.yahoo.com/q?s=ANNX" xr:uid="{208A7B61-4C7A-438E-B234-AD6E30984A80}"/>
    <hyperlink ref="C115" r:id="rId342" display="https://www.iposcoop.com/specific-industry/?industry=Health_Care&amp;justPriced=1" xr:uid="{D4D12447-9D13-4D9F-8A39-010E792119FA}"/>
    <hyperlink ref="A116" r:id="rId343" display="https://www.iposcoop.com/ipo/inozyme-pharma/" xr:uid="{8EEF8944-79FB-458B-8D51-EAAFD9E9AC30}"/>
    <hyperlink ref="B116" r:id="rId344" display="http://finance.yahoo.com/q?s=INZY" xr:uid="{25082A40-461A-4D64-AD6F-BBDE441B540A}"/>
    <hyperlink ref="C116" r:id="rId345" display="https://www.iposcoop.com/specific-industry/?industry=Health_Care&amp;justPriced=1" xr:uid="{9ACD2303-DDCE-4195-AA29-843C93362B7C}"/>
    <hyperlink ref="A117" r:id="rId346" display="https://www.iposcoop.com/ipo/iteos-therapeutics/" xr:uid="{27975BC2-3EDA-46E3-B74C-73FF48AD581D}"/>
    <hyperlink ref="B117" r:id="rId347" display="http://finance.yahoo.com/q?s=ITOS" xr:uid="{FE0C133F-7E1B-43BB-BEBA-FC90E9F3A67F}"/>
    <hyperlink ref="C117" r:id="rId348" display="https://www.iposcoop.com/specific-industry/?industry=Health_Care&amp;justPriced=1" xr:uid="{D39428A1-4F83-41BD-9F12-4E0152284A62}"/>
    <hyperlink ref="A118" r:id="rId349" display="https://www.iposcoop.com/ipo/nurix-therapeutics/" xr:uid="{CF9E660C-7A3E-4767-92F3-8DA32393816E}"/>
    <hyperlink ref="B118" r:id="rId350" display="http://finance.yahoo.com/q?s=NRIX" xr:uid="{0248787E-7DF4-4BEA-8EAD-5231D7F2427C}"/>
    <hyperlink ref="C118" r:id="rId351" display="https://www.iposcoop.com/specific-industry/?industry=Health_Care&amp;justPriced=1" xr:uid="{E9E244A9-E151-4E60-AEBA-C89E2013DC05}"/>
    <hyperlink ref="A119" r:id="rId352" display="https://www.iposcoop.com/ipo/montrose-environmental-group/" xr:uid="{1F21660B-7A05-43B5-948B-3A014C8E550B}"/>
    <hyperlink ref="B119" r:id="rId353" display="http://finance.yahoo.com/q?s=MEG" xr:uid="{E6930AC9-549A-4BEC-A2D2-40DC03B1F107}"/>
    <hyperlink ref="C119" r:id="rId354" display="https://www.iposcoop.com/specific-industry/?industry=Consumer_Services&amp;justPriced=1" xr:uid="{3E94ED87-C1A3-419D-BD08-32370463C5A3}"/>
    <hyperlink ref="A120" r:id="rId355" display="https://www.iposcoop.com/ipo/skillful-craftsman-education-technology-ltd/" xr:uid="{6AE45CE2-BB4D-4FF0-AF4E-EB3C053AE29A}"/>
    <hyperlink ref="B120" r:id="rId356" display="http://finance.yahoo.com/q?s=EDTK" xr:uid="{D04AAF09-0C3F-4A27-AC43-FD9548CB1EA7}"/>
    <hyperlink ref="C120" r:id="rId357" display="https://www.iposcoop.com/specific-industry/?industry=Consumer_Services&amp;justPriced=1" xr:uid="{71DDBA5A-F79D-4A8F-985E-8FEE516701DF}"/>
    <hyperlink ref="A121" r:id="rId358" display="https://www.iposcoop.com/ipo/jamf-holding/" xr:uid="{C5C71DAD-189D-4726-B490-2A2C182E4F71}"/>
    <hyperlink ref="B121" r:id="rId359" display="http://finance.yahoo.com/q?s=JAMF" xr:uid="{971FBF79-862F-4BB4-A6A1-DB99CEFA68F1}"/>
    <hyperlink ref="C121" r:id="rId360" display="https://www.iposcoop.com/specific-industry/?industry=Technology&amp;justPriced=1" xr:uid="{8109CE6A-5E3D-4B38-BFC8-3AC45C084EA7}"/>
    <hyperlink ref="A122" r:id="rId361" display="https://www.iposcoop.com/ipo/alx-oncology-holdings/" xr:uid="{0B0D6520-CB2F-4AF2-B8B5-8C0B9A122329}"/>
    <hyperlink ref="B122" r:id="rId362" display="http://finance.yahoo.com/q?s=ALXO" xr:uid="{28878554-2571-4788-881A-D9B3424E5482}"/>
    <hyperlink ref="C122" r:id="rId363" display="https://www.iposcoop.com/specific-industry/?industry=Health_Care&amp;justPriced=1" xr:uid="{F70F5484-6292-4D2D-9C27-AB23723E948D}"/>
    <hyperlink ref="A123" r:id="rId364" display="https://www.iposcoop.com/ipo/berkeley-lights/" xr:uid="{69DB6CA6-BA8D-423E-B453-5F0381A450C8}"/>
    <hyperlink ref="B123" r:id="rId365" display="http://finance.yahoo.com/q?s=BLI" xr:uid="{DF593507-B032-4D34-BC65-453F81FEE162}"/>
    <hyperlink ref="C123" r:id="rId366" display="https://www.iposcoop.com/specific-industry/?industry=Health_Care&amp;justPriced=1" xr:uid="{A5990FBA-382D-40A9-8062-7F1EDF300D7F}"/>
    <hyperlink ref="A124" r:id="rId367" display="https://www.iposcoop.com/ipo/pandion-therapeutics-holdco/" xr:uid="{1AAE2F9C-B639-4DF7-B78F-7192B89925F5}"/>
    <hyperlink ref="B124" r:id="rId368" display="http://finance.yahoo.com/q?s=PAND" xr:uid="{A23F0FE2-8B3A-42F3-B94D-5C1948036E98}"/>
    <hyperlink ref="C124" r:id="rId369" display="https://www.iposcoop.com/specific-industry/?industry=Health_Care&amp;justPriced=1" xr:uid="{1F26071C-E3F3-4F07-9DA3-A1276D7AA8B2}"/>
    <hyperlink ref="A125" r:id="rId370" display="https://www.iposcoop.com/ipo/relay-therapeutics/" xr:uid="{1066AA3E-CF4B-4839-9B55-23194099E3DF}"/>
    <hyperlink ref="B125" r:id="rId371" display="http://finance.yahoo.com/q?s=RLAY" xr:uid="{72CBE6C6-1CCF-478E-9BE4-D7AFD83455B4}"/>
    <hyperlink ref="C125" r:id="rId372" display="https://www.iposcoop.com/specific-industry/?industry=Health_Care&amp;justPriced=1" xr:uid="{D1B152AE-A8BF-474D-8021-A6439F017866}"/>
    <hyperlink ref="A126" r:id="rId373" display="https://www.iposcoop.com/ipo/trean-insurance-group/" xr:uid="{C72A2ED9-ED96-4E03-872D-2E4B58ECE53E}"/>
    <hyperlink ref="B126" r:id="rId374" display="http://finance.yahoo.com/q?s=TIG" xr:uid="{E407CAA4-9141-49ED-AF98-4235ED0BB886}"/>
    <hyperlink ref="C126" r:id="rId375" display="https://www.iposcoop.com/specific-industry/?industry=Financials&amp;justPriced=1" xr:uid="{AFC2CC0F-56D6-4736-BDFE-8D77ACCF812E}"/>
    <hyperlink ref="A127" r:id="rId376" display="https://www.iposcoop.com/ipo/gohealth/" xr:uid="{3F4F331B-1C85-457B-9853-32C1B493AF7E}"/>
    <hyperlink ref="B127" r:id="rId377" display="http://finance.yahoo.com/q?s=GOCO" xr:uid="{D8C51121-F685-4ABA-B10E-7A9D9112B3BD}"/>
    <hyperlink ref="C127" r:id="rId378" display="https://www.iposcoop.com/specific-industry/?industry=Financials&amp;justPriced=1" xr:uid="{E9C5D93A-7BF0-430A-BCA6-0968DC31C075}"/>
    <hyperlink ref="A128" r:id="rId379" display="https://www.iposcoop.com/ipo/ncino/" xr:uid="{C3DFA9C5-4D49-4EBE-AA0B-42B699C0AAA3}"/>
    <hyperlink ref="B128" r:id="rId380" display="http://finance.yahoo.com/q?s=NCNO" xr:uid="{74B52A95-534C-4530-B4B9-2C2E16FA2FDE}"/>
    <hyperlink ref="C128" r:id="rId381" display="https://www.iposcoop.com/specific-industry/?industry=Technology&amp;justPriced=1" xr:uid="{7FB8DBE0-23B3-411B-8516-C1AD36E554BE}"/>
    <hyperlink ref="A129" r:id="rId382" display="https://www.iposcoop.com/ipo/nkarta/" xr:uid="{DF41C12F-46BC-4F18-80BF-ED27EAE697C1}"/>
    <hyperlink ref="B129" r:id="rId383" display="http://finance.yahoo.com/q?s=NKTX" xr:uid="{88F988F1-3492-436A-98E3-3695C3814ADE}"/>
    <hyperlink ref="C129" r:id="rId384" display="https://www.iposcoop.com/specific-industry/?industry=Health_Care&amp;justPriced=1" xr:uid="{8AE1CDCC-23C6-4D69-A428-F86B055C5BCE}"/>
    <hyperlink ref="A130" r:id="rId385" display="https://www.iposcoop.com/ipo/poseida-therapeutics/" xr:uid="{3FC53A45-1443-4D99-8B4F-EC38A232C246}"/>
    <hyperlink ref="B130" r:id="rId386" display="http://finance.yahoo.com/q?s=PSTX" xr:uid="{9458C33B-FA24-4E9C-83A4-C33F4FBCB7BF}"/>
    <hyperlink ref="C130" r:id="rId387" display="https://www.iposcoop.com/specific-industry/?industry=Health_Care&amp;justPriced=1" xr:uid="{1B8998B8-EF06-4623-AF27-155AC4B3B5CB}"/>
    <hyperlink ref="A131" r:id="rId388" display="https://www.iposcoop.com/ipo/quhuo-limited/" xr:uid="{6DB7CD4F-F572-4D8C-8CA1-4C3B6831C1EB}"/>
    <hyperlink ref="B131" r:id="rId389" display="http://finance.yahoo.com/q?s=QH" xr:uid="{5313BF8F-C61C-4167-8B45-9B5F949F3825}"/>
    <hyperlink ref="C131" r:id="rId390" display="https://www.iposcoop.com/specific-industry/?industry=Consumer_Services&amp;justPriced=1" xr:uid="{CB6E1A31-125A-4179-9AF6-4F07E4644AF6}"/>
    <hyperlink ref="A132" r:id="rId391" display="https://www.iposcoop.com/ipo/bluecity-holdings/" xr:uid="{D264252C-20D0-47E7-8F7B-E9A6E993AC2F}"/>
    <hyperlink ref="B132" r:id="rId392" display="http://finance.yahoo.com/q?s=BLCT" xr:uid="{F8FA2020-4C00-4538-B66D-A4D646109B6E}"/>
    <hyperlink ref="C132" r:id="rId393" display="https://www.iposcoop.com/specific-industry/?industry=Technology&amp;justPriced=1" xr:uid="{FCD6F0CF-B970-459E-B9E6-DC07A09D7527}"/>
    <hyperlink ref="A133" r:id="rId394" display="https://www.iposcoop.com/ipo/therapeutics-acquisition/" xr:uid="{3FFF191C-C2B8-4C21-B0BA-6602CB5166FD}"/>
    <hyperlink ref="B133" r:id="rId395" display="http://finance.yahoo.com/q?s=TXAC" xr:uid="{DECDBF9D-8AAD-4796-B483-8B679FD4D71D}"/>
    <hyperlink ref="C133" r:id="rId396" display="https://www.iposcoop.com/specific-industry/?industry=Blank_Check&amp;justPriced=1" xr:uid="{CDED8AC2-34FF-46D6-AA65-AED8A456FD58}"/>
    <hyperlink ref="A134" r:id="rId397" display="https://www.iposcoop.com/ipo/accolade/" xr:uid="{CF74D755-0ED7-4837-A764-218DA3207A39}"/>
    <hyperlink ref="B134" r:id="rId398" display="http://finance.yahoo.com/q?s=ACCD" xr:uid="{98695458-8931-40D9-8BBC-E1B4CE7DAF08}"/>
    <hyperlink ref="C134" r:id="rId399" display="https://www.iposcoop.com/specific-industry/?industry=Consumer_Services&amp;justPriced=1" xr:uid="{32FA0EAA-949A-4C2A-A124-37823F16A9FC}"/>
    <hyperlink ref="A135" r:id="rId400" display="https://www.iposcoop.com/ipo/lemonade/" xr:uid="{5E219602-2525-4DB9-AD7E-CD6E7FFD7A7D}"/>
    <hyperlink ref="B135" r:id="rId401" display="http://finance.yahoo.com/q?s=LMND" xr:uid="{8DB2B1A9-795C-4A81-AB28-E1021CA20626}"/>
    <hyperlink ref="C135" r:id="rId402" display="https://www.iposcoop.com/specific-industry/?industry=Financials&amp;justPriced=1" xr:uid="{500D0DCB-7B7E-450D-8607-27BD77E60DAA}"/>
    <hyperlink ref="A136" r:id="rId403" display="https://www.iposcoop.com/ipo/dun-bradstreet-holdings/" xr:uid="{5181417D-2CD8-455C-A0D5-5EE50D09BC58}"/>
    <hyperlink ref="B136" r:id="rId404" display="http://finance.yahoo.com/q?s=DNB" xr:uid="{EBF39564-8EF3-4D44-AE94-D14CA4E118C1}"/>
    <hyperlink ref="C136" r:id="rId405" display="https://www.iposcoop.com/specific-industry/?industry=Consumer_Services&amp;justPriced=1" xr:uid="{5D2CFDFF-5901-49E9-A49D-76A6023D9F5C}"/>
    <hyperlink ref="A137" r:id="rId406" display="https://www.iposcoop.com/ipo/agora-inc/" xr:uid="{5EADD0C6-1A73-408C-A117-CF7BF02EE6BE}"/>
    <hyperlink ref="B137" r:id="rId407" display="http://finance.yahoo.com/q?s=API" xr:uid="{501C3309-8ACD-4712-8790-2EE5FF621C4A}"/>
    <hyperlink ref="C137" r:id="rId408" display="https://www.iposcoop.com/specific-industry/?industry=Technology&amp;justPriced=1" xr:uid="{675A90BC-F46C-4587-A31B-5A2D9255DD1B}"/>
    <hyperlink ref="A138" r:id="rId409" display="https://www.iposcoop.com/ipo/akouos/" xr:uid="{28E83C36-B283-416B-9A29-0D9AD885D0D5}"/>
    <hyperlink ref="B138" r:id="rId410" display="http://finance.yahoo.com/q?s=AKUS" xr:uid="{8004E884-5935-4568-A82B-A5040779E4D4}"/>
    <hyperlink ref="C138" r:id="rId411" display="https://www.iposcoop.com/specific-industry/?industry=Health_Care&amp;justPriced=1" xr:uid="{A392D714-BD95-4683-862D-F77FC98252A7}"/>
    <hyperlink ref="A139" r:id="rId412" display="https://www.iposcoop.com/ipo/albertsons-companies/" xr:uid="{4B4F8398-FE80-4626-9C9A-489F65439E53}"/>
    <hyperlink ref="B139" r:id="rId413" display="http://finance.yahoo.com/q?s=ACI" xr:uid="{71B7C173-FBDE-4BB9-96AB-24E2BAACEC34}"/>
    <hyperlink ref="C139" r:id="rId414" display="https://www.iposcoop.com/specific-industry/?industry=Consumer_Goods&amp;justPriced=1" xr:uid="{8B695A5D-722A-42B0-8749-78CBE0906331}"/>
    <hyperlink ref="A140" r:id="rId415" display="https://www.iposcoop.com/ipo/ebang-international-holdings/" xr:uid="{F4955E33-3ABE-47A7-BD7D-076CE9F6CA19}"/>
    <hyperlink ref="B140" r:id="rId416" display="http://finance.yahoo.com/q?s=EBON" xr:uid="{B3E06ABA-2B5F-48A5-829C-0EE66C462DD3}"/>
    <hyperlink ref="C140" r:id="rId417" display="https://www.iposcoop.com/specific-industry/?industry=Technology&amp;justPriced=1" xr:uid="{202473B7-190F-4ADE-9761-F9A2865F0E99}"/>
    <hyperlink ref="A141" r:id="rId418" display="https://www.iposcoop.com/ipo/fusion-pharmaceuticals/" xr:uid="{B2999DED-7AC6-4E07-B974-A0564590A206}"/>
    <hyperlink ref="B141" r:id="rId419" display="http://finance.yahoo.com/q?s=FUSN" xr:uid="{7DB4A3FD-8197-4C55-9D3F-E0A72C1090B3}"/>
    <hyperlink ref="C141" r:id="rId420" display="https://www.iposcoop.com/specific-industry/?industry=Health_Care&amp;justPriced=1" xr:uid="{51B70C1B-FC30-4A54-AD37-E65F625ED500}"/>
    <hyperlink ref="A142" r:id="rId421" display="https://www.iposcoop.com/ipo/polypid/" xr:uid="{CD816BC5-6B7E-4434-A80D-B690A10B2675}"/>
    <hyperlink ref="B142" r:id="rId422" display="http://finance.yahoo.com/q?s=PYPD" xr:uid="{2B497B08-132A-4B83-AD02-17839463D648}"/>
    <hyperlink ref="C142" r:id="rId423" display="https://www.iposcoop.com/specific-industry/?industry=Health_Care&amp;justPriced=1" xr:uid="{FAD41CCC-6683-4FF6-8D2E-6C6BCA529F28}"/>
    <hyperlink ref="A143" r:id="rId424" display="https://www.iposcoop.com/ipo/forma-therapeutics-holdings/" xr:uid="{C132112F-A9EF-460B-B486-1CAC328DED6E}"/>
    <hyperlink ref="B143" r:id="rId425" display="http://finance.yahoo.com/q?s=FMTX" xr:uid="{C106F433-C2D3-4791-A679-D2194AE1FAC7}"/>
    <hyperlink ref="C143" r:id="rId426" display="https://www.iposcoop.com/specific-industry/?industry=Health_Care&amp;justPriced=1" xr:uid="{3DD1BFD2-160C-4A30-85FE-97491F4E673C}"/>
    <hyperlink ref="A144" r:id="rId427" display="https://www.iposcoop.com/ipo/genetron-holdings/" xr:uid="{125BD38B-DA26-4692-8F1B-BBB111AC8074}"/>
    <hyperlink ref="B144" r:id="rId428" display="http://finance.yahoo.com/q?s=GTH" xr:uid="{49CC6C27-9D82-4948-936B-F66A561B9B09}"/>
    <hyperlink ref="C144" r:id="rId429" display="https://www.iposcoop.com/specific-industry/?industry=Health_Care&amp;justPriced=1" xr:uid="{5A414215-7261-455C-879B-E58BA191600E}"/>
    <hyperlink ref="A145" r:id="rId430" display="https://www.iposcoop.com/ipo/progenity/" xr:uid="{1B7C056B-01A8-45F2-8029-79D38B234600}"/>
    <hyperlink ref="B145" r:id="rId431" display="http://finance.yahoo.com/q?s=PROG" xr:uid="{F2E58EAE-A512-40CC-B988-20C2A4905212}"/>
    <hyperlink ref="C145" r:id="rId432" display="https://www.iposcoop.com/specific-industry/?industry=Health_Care&amp;justPriced=1" xr:uid="{49151EEE-2BB0-4214-A7ED-5DED49FFD5DE}"/>
    <hyperlink ref="A146" r:id="rId433" display="https://www.iposcoop.com/ipo/repare-therapeutics/" xr:uid="{84DF3B9A-0BB5-46E5-83DE-1D8337D8267F}"/>
    <hyperlink ref="B146" r:id="rId434" display="http://finance.yahoo.com/q?s=RPTX" xr:uid="{9F369C3D-11F0-48F4-8EBC-4D8498DDEFAE}"/>
    <hyperlink ref="C146" r:id="rId435" display="https://www.iposcoop.com/specific-industry/?industry=Health_Care&amp;justPriced=1" xr:uid="{59534133-A099-4998-A8EB-EE68CF8C8689}"/>
    <hyperlink ref="A147" r:id="rId436" display="https://www.iposcoop.com/ipo/royalty-pharma-plc/" xr:uid="{601ADB19-593C-4A97-B6A6-FB88CD824783}"/>
    <hyperlink ref="B147" r:id="rId437" display="http://finance.yahoo.com/q?s=RPRX" xr:uid="{EDBECA24-CD91-425C-B3A3-6E9B8F3B83E2}"/>
    <hyperlink ref="C147" r:id="rId438" display="https://www.iposcoop.com/specific-industry/?industry=Health_Care&amp;justPriced=1" xr:uid="{3533A2AF-0F34-4FAA-8C37-EF372A318440}"/>
    <hyperlink ref="A148" r:id="rId439" display="https://www.iposcoop.com/ipo/avidity-biosciences/" xr:uid="{7D5BEA26-E8CB-431D-AA05-633DA4F76748}"/>
    <hyperlink ref="B148" r:id="rId440" display="http://finance.yahoo.com/q?s=RNA" xr:uid="{BCD66777-513D-41AC-A596-DD80EEEA3221}"/>
    <hyperlink ref="C148" r:id="rId441" display="https://www.iposcoop.com/specific-industry/?industry=Health_Care&amp;justPriced=1" xr:uid="{0922BA50-9BF6-47DB-AC58-75B3AEA959AB}"/>
    <hyperlink ref="A149" r:id="rId442" display="https://www.iposcoop.com/ipo/cpg-newco-llc-the-azek-company/" xr:uid="{4BB92114-CA0D-49E9-B867-5967E9CED99B}"/>
    <hyperlink ref="B149" r:id="rId443" display="http://finance.yahoo.com/q?s=AZEK" xr:uid="{9A42FA09-7CC6-42A8-AFB7-EA02189BB8CB}"/>
    <hyperlink ref="C149" r:id="rId444" display="https://www.iposcoop.com/specific-industry/?industry=Consumer_Goods&amp;justPriced=1" xr:uid="{1AE05453-97D9-4B1A-A536-20CFCFDACDC5}"/>
    <hyperlink ref="A150" r:id="rId445" display="https://www.iposcoop.com/ipo/burning-rock-biotech-ltd/" xr:uid="{E0AC087B-6F49-47E6-B35A-835CFF299A48}"/>
    <hyperlink ref="B150" r:id="rId446" display="http://finance.yahoo.com/q?s=BNR" xr:uid="{3D4328C2-A637-4B2B-A6D7-CEBB8E140035}"/>
    <hyperlink ref="C150" r:id="rId447" display="https://www.iposcoop.com/specific-industry/?industry=Health_Care&amp;justPriced=1" xr:uid="{CCB591F8-922A-4C51-B744-8E36904971EC}"/>
    <hyperlink ref="A151" r:id="rId448" display="https://www.iposcoop.com/ipo/generation-bio/" xr:uid="{9105E50B-250F-4E8C-9780-071DC443D1F0}"/>
    <hyperlink ref="B151" r:id="rId449" display="http://finance.yahoo.com/q?s=GBIO" xr:uid="{4FB8EBD6-5666-4F67-B4B8-F7BB740BB6B6}"/>
    <hyperlink ref="C151" r:id="rId450" display="https://www.iposcoop.com/specific-industry/?industry=Health_Care&amp;justPriced=1" xr:uid="{B7E23879-695F-4060-8B4F-EA9330D859F0}"/>
    <hyperlink ref="A152" r:id="rId451" display="https://www.iposcoop.com/ipo/vaxcyte/" xr:uid="{75FDB068-804F-4562-92E2-487287C322D2}"/>
    <hyperlink ref="B152" r:id="rId452" display="http://finance.yahoo.com/q?s=PCVX" xr:uid="{B81A72BC-A025-4F3E-9AF2-AF83A94370C4}"/>
    <hyperlink ref="C152" r:id="rId453" display="https://www.iposcoop.com/specific-industry/?industry=Health_Care&amp;justPriced=1" xr:uid="{C08A72F4-610C-4988-835E-2C474ABB2AB5}"/>
    <hyperlink ref="A153" r:id="rId454" display="https://www.iposcoop.com/ipo/lantern-pharma/" xr:uid="{5CA2503C-B5F9-4F6A-86C1-B94C413B2945}"/>
    <hyperlink ref="B153" r:id="rId455" display="http://finance.yahoo.com/q?s=LTRN" xr:uid="{2F8B22B4-0655-4DDD-BE7E-203EAA5F18C7}"/>
    <hyperlink ref="C153" r:id="rId456" display="https://www.iposcoop.com/specific-industry/?industry=Health_Care&amp;justPriced=1" xr:uid="{B969C0C6-A92E-4060-9B4F-96C87E3FFA20}"/>
    <hyperlink ref="A154" r:id="rId457" display="https://www.iposcoop.com/ipo/ucloudlink-group/" xr:uid="{895DEDC0-3A3F-4377-A38A-850ECA95F676}"/>
    <hyperlink ref="B154" r:id="rId458" display="http://finance.yahoo.com/q?s=UCL" xr:uid="{B2976D97-7077-48F9-A548-ABDF0A761618}"/>
    <hyperlink ref="C154" r:id="rId459" display="https://www.iposcoop.com/specific-industry/?industry=Telecommunications&amp;justPriced=1" xr:uid="{6795F016-E4C6-4F49-B2E3-4FD873C7DCEE}"/>
    <hyperlink ref="A155" r:id="rId460" display="https://www.iposcoop.com/ipo/hudson-executive-investment/" xr:uid="{8B20EB94-D6D1-455D-BE1F-2C823C644AC7}"/>
    <hyperlink ref="B155" r:id="rId461" display="http://finance.yahoo.com/q?s=HECCU" xr:uid="{F72F4DD2-68BB-42CB-B3A1-6B897746905C}"/>
    <hyperlink ref="C155" r:id="rId462" display="https://www.iposcoop.com/specific-industry/?industry=Blank_Check&amp;justPriced=1" xr:uid="{45E09EB4-E349-487F-833E-25DC869EA645}"/>
    <hyperlink ref="A156" r:id="rId463" display="https://www.iposcoop.com/ipo/vroom/" xr:uid="{669C80E6-A3D5-40D9-93C1-0F25859B0B01}"/>
    <hyperlink ref="B156" r:id="rId464" display="http://finance.yahoo.com/q?s=VRM" xr:uid="{7CB80217-BF9F-469B-8D45-BBD4BE672374}"/>
    <hyperlink ref="C156" r:id="rId465" display="https://www.iposcoop.com/specific-industry/?industry=Consumer_Services&amp;justPriced=1" xr:uid="{61CA7410-267C-41FB-897C-D464926F17EB}"/>
    <hyperlink ref="A157" r:id="rId466" display="https://www.iposcoop.com/ipo/applied-molecular-transport/" xr:uid="{4061515F-A55D-40DE-A7AC-4A010A373BFE}"/>
    <hyperlink ref="B157" r:id="rId467" display="http://finance.yahoo.com/q?s=AMTI" xr:uid="{90F6F24A-6F2B-4A18-96B1-532A4DEC102E}"/>
    <hyperlink ref="C157" r:id="rId468" display="https://www.iposcoop.com/specific-industry/?industry=Health_Care&amp;justPriced=1" xr:uid="{45EE8408-41E5-4C93-A248-3EC947CF7E83}"/>
    <hyperlink ref="A158" r:id="rId469" display="https://www.iposcoop.com/ipo/dada-nexus-limited/" xr:uid="{9EE199E9-07DF-49C0-8FAC-A83B33B2D0C4}"/>
    <hyperlink ref="B158" r:id="rId470" display="http://finance.yahoo.com/q?s=DADA" xr:uid="{204665D1-0C42-4E82-8858-90F805DFBF44}"/>
    <hyperlink ref="C158" r:id="rId471" display="https://www.iposcoop.com/specific-industry/?industry=Technology&amp;justPriced=1" xr:uid="{2D33B3B0-717C-407E-A276-3DB49054B5B5}"/>
    <hyperlink ref="A159" r:id="rId472" display="https://www.iposcoop.com/ipo/legend-biotech/" xr:uid="{06117E80-7B54-46DB-965A-2A8447DE6CB9}"/>
    <hyperlink ref="B159" r:id="rId473" display="http://finance.yahoo.com/q?s=LEGN" xr:uid="{765B4583-D1EE-4689-B620-94FEAD790B02}"/>
    <hyperlink ref="C159" r:id="rId474" display="https://www.iposcoop.com/specific-industry/?industry=Health_Care&amp;justPriced=1" xr:uid="{EA22B2D6-78D5-4266-BB77-DCBA64FC4FD0}"/>
    <hyperlink ref="A160" r:id="rId475" display="https://www.iposcoop.com/ipo/shift4-payments/" xr:uid="{E99BE8B8-A2CF-4CF8-A4B2-55106A74FF33}"/>
    <hyperlink ref="B160" r:id="rId476" display="http://finance.yahoo.com/q?s=FOUR" xr:uid="{F1A8DEE3-F18E-4586-9784-EB99542EAA30}"/>
    <hyperlink ref="C160" r:id="rId477" display="https://www.iposcoop.com/specific-industry/?industry=Consumer_Services&amp;justPriced=1" xr:uid="{059C3444-2D3A-4D14-A014-FA4B1755975B}"/>
    <hyperlink ref="A161" r:id="rId478" display="https://www.iposcoop.com/ipo/zoominfo-technologies/" xr:uid="{23D07A78-4816-4332-96AC-24D85D253226}"/>
    <hyperlink ref="B161" r:id="rId479" display="http://finance.yahoo.com/q?s=ZI" xr:uid="{7F57956C-FE07-496C-8D71-F57A035E09C5}"/>
    <hyperlink ref="C161" r:id="rId480" display="https://www.iposcoop.com/specific-industry/?industry=Technology&amp;justPriced=1" xr:uid="{8FF73769-E45B-49A9-BFF1-2AD837B5CC8C}"/>
    <hyperlink ref="A162" r:id="rId481" display="https://www.iposcoop.com/ipo/pliant-therapeutics/" xr:uid="{0DB12C91-6453-4A39-9870-B8C51B36B70D}"/>
    <hyperlink ref="B162" r:id="rId482" display="http://finance.yahoo.com/q?s=PLRX" xr:uid="{BFDCE0A5-D460-4250-8A74-A7FCA52960F5}"/>
    <hyperlink ref="C162" r:id="rId483" display="https://www.iposcoop.com/specific-industry/?industry=Health_Care&amp;justPriced=1" xr:uid="{6BAF2465-2BC5-4445-83A9-A57030D0F998}"/>
    <hyperlink ref="A163" r:id="rId484" display="https://www.iposcoop.com/ipo/warner-music-group/" xr:uid="{73546CED-45B8-44AE-9D2B-CFBA266FDA84}"/>
    <hyperlink ref="B163" r:id="rId485" display="http://finance.yahoo.com/q?s=WMG" xr:uid="{56EBA6C9-7FEC-4ACB-92EC-1BAD38FAB743}"/>
    <hyperlink ref="C163" r:id="rId486" display="https://www.iposcoop.com/specific-industry/?industry=Consumer_Goods&amp;justPriced=1" xr:uid="{045C4E53-680C-4CF7-BD2E-922A01A791E9}"/>
    <hyperlink ref="A164" r:id="rId487" display="https://www.iposcoop.com/ipo/inari-medical/" xr:uid="{FB9E1F90-44B6-4DAD-9249-30B74D3F0137}"/>
    <hyperlink ref="B164" r:id="rId488" display="http://finance.yahoo.com/q?s=NARI" xr:uid="{ED3D95FD-C792-40B1-9BF0-AFE3CC66F9DE}"/>
    <hyperlink ref="C164" r:id="rId489" display="https://www.iposcoop.com/specific-industry/?industry=Health_Care&amp;justPriced=1" xr:uid="{33C671E8-C823-4F06-A409-70A7A0216504}"/>
    <hyperlink ref="A165" r:id="rId490" display="https://www.iposcoop.com/ipo/24450/" xr:uid="{93BC34C6-A00A-4648-8E5D-615BF02C7F97}"/>
    <hyperlink ref="B165" r:id="rId491" display="http://finance.yahoo.com/q?s=SLQT" xr:uid="{7143D82E-A854-4B9E-821C-B8B81B73F242}"/>
    <hyperlink ref="C165" r:id="rId492" display="https://www.iposcoop.com/specific-industry/?industry=Financials&amp;justPriced=1" xr:uid="{B770B2D2-6E30-41C6-85BE-5BF1FE7CED63}"/>
    <hyperlink ref="A166" r:id="rId493" display="https://www.iposcoop.com/ipo/adc-therapeutics-america-sa/" xr:uid="{02D283C2-F138-4236-8782-9B429E3EE509}"/>
    <hyperlink ref="B166" r:id="rId494" display="http://finance.yahoo.com/q?s=ADCT" xr:uid="{DFA7DC16-F135-436C-A477-2BC5080406A0}"/>
    <hyperlink ref="C166" r:id="rId495" display="https://www.iposcoop.com/specific-industry/?industry=Health_Care&amp;justPriced=1" xr:uid="{6806328D-608A-4D3E-8EB8-ACAF9F784BD3}"/>
    <hyperlink ref="A167" r:id="rId496" display="https://www.iposcoop.com/ipo/ayala-pharmaceuticals/" xr:uid="{A7C8B878-ED98-495B-8013-11DE411CAF87}"/>
    <hyperlink ref="B167" r:id="rId497" display="http://finance.yahoo.com/q?s=AYLA" xr:uid="{D5D73678-3E00-4BD7-BE38-7320FC7B1709}"/>
    <hyperlink ref="C167" r:id="rId498" display="https://www.iposcoop.com/specific-industry/?industry=Health_Care&amp;justPriced=1" xr:uid="{E82038C0-81AF-4D17-A2F3-3E84FD90A6B4}"/>
    <hyperlink ref="A168" r:id="rId499" display="https://www.iposcoop.com/ipo/china-liberal-education-holdings/" xr:uid="{CC144257-7D92-4029-AD66-6BA7EA0261FF}"/>
    <hyperlink ref="B168" r:id="rId500" display="http://finance.yahoo.com/q?s=CLEU" xr:uid="{ED0FCE2B-BDC3-44E0-959E-746611779A8A}"/>
    <hyperlink ref="C168" r:id="rId501" display="https://www.iposcoop.com/specific-industry/?industry=Consumer_Services&amp;justPriced=1" xr:uid="{29FE7555-F9D1-44CA-9A1E-B7F5ED2B9B14}"/>
    <hyperlink ref="A169" r:id="rId502" display="https://www.iposcoop.com/ipo/kingsoft-cloud-holdings/" xr:uid="{DF01741E-5A2F-4850-BB6B-13075196C2D0}"/>
    <hyperlink ref="B169" r:id="rId503" display="http://finance.yahoo.com/q?s=KC" xr:uid="{61510121-79C4-4242-BBDC-F881DEFB48EB}"/>
    <hyperlink ref="C169" r:id="rId504" display="https://www.iposcoop.com/specific-industry/?industry=Technology&amp;justPriced=1" xr:uid="{E1954D81-0CBE-49A4-97F2-E9A952D12DD9}"/>
    <hyperlink ref="A170" r:id="rId505" display="https://www.iposcoop.com/ipo/lyra-therapeutics/" xr:uid="{3D71932B-E6E6-4636-BBF6-4500BD500E2B}"/>
    <hyperlink ref="B170" r:id="rId506" display="http://finance.yahoo.com/q?s=LYRA" xr:uid="{B6B82B6D-3BA7-4725-9029-B6FD6D58EC91}"/>
    <hyperlink ref="C170" r:id="rId507" display="https://www.iposcoop.com/specific-industry/?industry=Health_Care&amp;justPriced=1" xr:uid="{B2C81F1D-C5CC-418D-BE3B-04569E8D3F61}"/>
    <hyperlink ref="A171" r:id="rId508" display="https://www.iposcoop.com/ipo/oric-pharmaceuticals/" xr:uid="{92EE534F-9DA6-4207-925B-3300E9D03405}"/>
    <hyperlink ref="B171" r:id="rId509" display="http://finance.yahoo.com/q?s=ORIC" xr:uid="{7DEA62AB-DA75-4D8E-B586-54E0E758CDE9}"/>
    <hyperlink ref="C171" r:id="rId510" display="https://www.iposcoop.com/specific-industry/?industry=Health_Care&amp;justPriced=1" xr:uid="{97BF5928-C923-423B-8797-B4B302D28B66}"/>
    <hyperlink ref="A172" r:id="rId511" display="https://www.iposcoop.com/ipo/keros-therapeutics/" xr:uid="{C42BF809-C628-4EB5-ACEF-29FFD17236F4}"/>
    <hyperlink ref="B172" r:id="rId512" display="http://finance.yahoo.com/q?s=KROS" xr:uid="{4E3B15E4-C8BD-4780-9FA8-CB0364E270A9}"/>
    <hyperlink ref="C172" r:id="rId513" display="https://www.iposcoop.com/specific-industry/?industry=Health_Care&amp;justPriced=1" xr:uid="{669ED7FB-0B06-49E7-A631-837D429D0DFE}"/>
    <hyperlink ref="A173" r:id="rId514" display="https://www.iposcoop.com/ipo/zentalis-pharmaceuticals/" xr:uid="{A03DA9BE-D2EC-41D6-9E63-E2A99B7F0F9E}"/>
    <hyperlink ref="B173" r:id="rId515" display="http://finance.yahoo.com/q?s=ZNTL" xr:uid="{D10F1E3C-8A3A-4CE7-BCB4-DA3632450E41}"/>
    <hyperlink ref="C173" r:id="rId516" display="https://www.iposcoop.com/specific-industry/?industry=Health_Care&amp;justPriced=1" xr:uid="{E7EF5366-43FC-41AE-97B5-322B5417DB84}"/>
    <hyperlink ref="A174" r:id="rId517" display="https://www.iposcoop.com/ipo/wimi-hologram-cloud/" xr:uid="{03611A04-8E03-4398-9C36-DEEA39552A79}"/>
    <hyperlink ref="B174" r:id="rId518" display="http://finance.yahoo.com/q?s=WIMI" xr:uid="{E661E4F6-3248-45A0-B13D-937D5302AA48}"/>
    <hyperlink ref="C174" r:id="rId519" display="https://www.iposcoop.com/specific-industry/?industry=Technology&amp;justPriced=1" xr:uid="{AA487CCA-4E61-44D2-B93B-1D15FCAAFBFB}"/>
    <hyperlink ref="A175" r:id="rId520" display="https://www.iposcoop.com/ipo/imara-inc/" xr:uid="{0825AC1D-049E-4CA7-BA68-FF9FBD21C110}"/>
    <hyperlink ref="B175" r:id="rId521" display="http://finance.yahoo.com/q?s=IMRA" xr:uid="{D375902D-42B0-4D26-ACA3-2076CA1A3697}"/>
    <hyperlink ref="C175" r:id="rId522" display="https://www.iposcoop.com/specific-industry/?industry=Health_Care&amp;justPriced=1" xr:uid="{BCECE80A-2F2C-4CBE-AE16-B5DD4FB95DAE}"/>
    <hyperlink ref="A176" r:id="rId523" display="https://www.iposcoop.com/ipo/gfl-environmental-holdings/" xr:uid="{BD4933B2-271F-4962-A3AD-E7BE88786558}"/>
    <hyperlink ref="B176" r:id="rId524" display="http://finance.yahoo.com/q?s=GFL" xr:uid="{03F354EA-842F-4E84-8A9E-22BB2F981D4D}"/>
    <hyperlink ref="C176" r:id="rId525" display="https://www.iposcoop.com/specific-industry/?industry=Consumer_Services&amp;justPriced=1" xr:uid="{81904D46-B88B-4446-B248-DD1BDC6C157B}"/>
    <hyperlink ref="A177" r:id="rId526" display="https://www.iposcoop.com/ipo/passage-bio/" xr:uid="{16C401CF-EDEB-435A-A852-AB3B3A00568F}"/>
    <hyperlink ref="B177" r:id="rId527" display="http://finance.yahoo.com/q?s=PASG" xr:uid="{F5CBD466-C36D-46E5-9021-F6A3A8DF9019}"/>
    <hyperlink ref="C177" r:id="rId528" display="https://www.iposcoop.com/specific-industry/?industry=Health_Care&amp;justPriced=1" xr:uid="{843C28E3-D309-40F4-916E-861B2774E189}"/>
    <hyperlink ref="A178" r:id="rId529" display="https://www.iposcoop.com/ipo/zhongchao/" xr:uid="{ED0A1DC0-003F-4C29-930C-35819242505D}"/>
    <hyperlink ref="B178" r:id="rId530" display="http://finance.yahoo.com/q?s=ZCMD" xr:uid="{69A5DFFD-97E7-4936-B632-C42798E078BA}"/>
    <hyperlink ref="C178" r:id="rId531" display="https://www.iposcoop.com/specific-industry/?industry=Consumer_Services&amp;justPriced=1" xr:uid="{0D261B17-47A7-4539-AD54-1C7B44DF36F9}"/>
    <hyperlink ref="A179" r:id="rId532" display="https://www.iposcoop.com/ipo/muscle-maker/" xr:uid="{DAC21AF5-FBDE-4E03-B094-707FBE41774C}"/>
    <hyperlink ref="B179" r:id="rId533" display="http://finance.yahoo.com/q?s=GRIL" xr:uid="{892AFA91-02F9-4976-88B3-6A99A190D224}"/>
    <hyperlink ref="C179" r:id="rId534" display="https://www.iposcoop.com/specific-industry/?industry=Consumer_Services&amp;justPriced=1" xr:uid="{4D25DE67-F490-411E-BB97-C93CEC95136C}"/>
    <hyperlink ref="A180" r:id="rId535" display="https://www.iposcoop.com/ipo/revolution-medicines/" xr:uid="{68D103AF-774D-4B2E-98E0-7E480822E4E5}"/>
    <hyperlink ref="B180" r:id="rId536" display="http://finance.yahoo.com/q?s=RVMD" xr:uid="{BB6F1227-9E4A-435F-8AF5-44D8685626BF}"/>
    <hyperlink ref="C180" r:id="rId537" display="https://www.iposcoop.com/specific-industry/?industry=Health_Care&amp;justPriced=1" xr:uid="{E6C6F3FB-D38E-4BAA-AF93-E4E3960BDD1B}"/>
    <hyperlink ref="A181" r:id="rId538" display="https://www.iposcoop.com/ipo/huize-holding-ltd/" xr:uid="{EAD37EE9-66AA-49C5-9DD7-9697A878771B}"/>
    <hyperlink ref="B181" r:id="rId539" display="http://finance.yahoo.com/q?s=HUIZ" xr:uid="{C130226B-59B1-4C36-97CF-788146FC49F3}"/>
    <hyperlink ref="C181" r:id="rId540" display="https://www.iposcoop.com/specific-industry/?industry=Financials&amp;justPriced=1" xr:uid="{37439778-4FA9-4D4F-8860-3113A0CF859A}"/>
    <hyperlink ref="A182" r:id="rId541" display="https://www.iposcoop.com/ipo/nexpoint-real-estate-finance/" xr:uid="{48AE424B-271B-40D2-A4CF-7C71FBE91FA4}"/>
    <hyperlink ref="B182" r:id="rId542" display="http://finance.yahoo.com/q?s=NREF" xr:uid="{435E6A4C-6308-4069-89F3-482490D48801}"/>
    <hyperlink ref="C182" r:id="rId543" display="https://www.iposcoop.com/specific-industry/?industry=Financials&amp;justPriced=1" xr:uid="{C7C3C7A1-5055-4141-B582-161737682558}"/>
    <hyperlink ref="A183" r:id="rId544" display="https://www.iposcoop.com/ipo/onewater-marine/" xr:uid="{9A32F188-36AB-4DAF-84A9-C1198CE0780E}"/>
    <hyperlink ref="B183" r:id="rId545" display="http://finance.yahoo.com/q?s=ONEW" xr:uid="{7D774D46-826C-4830-8A60-E5E1C8CE6C39}"/>
    <hyperlink ref="C183" r:id="rId546" display="https://www.iposcoop.com/specific-industry/?industry=Consumer_Goods&amp;justPriced=1" xr:uid="{1C72A736-2E14-408E-B59F-CA626D1010FF}"/>
    <hyperlink ref="A184" r:id="rId547" display="https://www.iposcoop.com/ipo/beam-therapeutics/" xr:uid="{420CCA77-59B2-4368-B998-610AC3C32FAA}"/>
    <hyperlink ref="B184" r:id="rId548" display="http://finance.yahoo.com/q?s=BEAM" xr:uid="{18145780-F9AA-45D0-A301-16F9045CF68F}"/>
    <hyperlink ref="C184" r:id="rId549" display="https://www.iposcoop.com/specific-industry/?industry=Health_Care&amp;justPriced=1" xr:uid="{F7CAE825-D4E3-441F-AF1C-D2E9469204B7}"/>
    <hyperlink ref="A185" r:id="rId550" display="https://www.iposcoop.com/ipo/casper-sleep/" xr:uid="{7EB4693D-6B63-4E01-A409-4C8111915AE6}"/>
    <hyperlink ref="B185" r:id="rId551" display="http://finance.yahoo.com/q?s=CSPR" xr:uid="{80D80B2C-0A9B-4E0E-B05F-337A6E82CA66}"/>
    <hyperlink ref="C185" r:id="rId552" display="https://www.iposcoop.com/specific-industry/?industry=Consumer_Goods&amp;justPriced=1" xr:uid="{686DE47A-B47F-4319-84EC-EA362A618CCE}"/>
    <hyperlink ref="A186" r:id="rId553" display="https://www.iposcoop.com/ipo/ppd/" xr:uid="{B50ABD68-1B9E-4DE5-A144-2247A92FC3DA}"/>
    <hyperlink ref="B186" r:id="rId554" display="http://finance.yahoo.com/q?s=PPD" xr:uid="{06FE1858-9F9E-49A1-8F84-4700834121B9}"/>
    <hyperlink ref="C186" r:id="rId555" display="https://www.iposcoop.com/specific-industry/?industry=Health_Care&amp;justPriced=1" xr:uid="{4E4CB494-B8BB-4706-926F-85B748E18845}"/>
    <hyperlink ref="A187" r:id="rId556" display="https://www.iposcoop.com/ipo/schrodinger/" xr:uid="{5C09E9C7-0BAD-4A34-8AD9-D461C0FADE08}"/>
    <hyperlink ref="B187" r:id="rId557" display="http://finance.yahoo.com/q?s=SDGR" xr:uid="{22620A33-8235-4CB4-8462-7B4523CF6AD4}"/>
    <hyperlink ref="C187" r:id="rId558" display="https://www.iposcoop.com/specific-industry/?industry=Health_Care&amp;justPriced=1" xr:uid="{37B7AFE8-BC57-4F91-97E2-56142F531035}"/>
    <hyperlink ref="A188" r:id="rId559" display="https://www.iposcoop.com/ipo/1life-healthcare/" xr:uid="{89D8CD49-BDFD-4B14-8E65-4CCE6E54E5AB}"/>
    <hyperlink ref="B188" r:id="rId560" display="http://finance.yahoo.com/q?s=ONEM" xr:uid="{840EC88C-BE36-4A3A-B937-CC7531C7EC26}"/>
    <hyperlink ref="C188" r:id="rId561" display="https://www.iposcoop.com/specific-industry/?industry=Consumer_Services&amp;justPriced=1" xr:uid="{84FF1A66-C0DC-449F-A71A-45873B3B33FA}"/>
    <hyperlink ref="A189" r:id="rId562" display="https://www.iposcoop.com/ipo/arcutis-biotherapeutics/" xr:uid="{18242AE0-839F-44D1-A507-2B224E60EDE5}"/>
    <hyperlink ref="B189" r:id="rId563" display="http://finance.yahoo.com/q?s=ARQT" xr:uid="{7D6336DA-F8D3-496C-9D77-6BF7CA7DD6FE}"/>
    <hyperlink ref="C189" r:id="rId564" display="https://www.iposcoop.com/specific-industry/?industry=Health_Care&amp;justPriced=1" xr:uid="{DA7B6167-8686-49E0-8325-19C1329A01FF}"/>
    <hyperlink ref="A190" r:id="rId565" display="https://www.iposcoop.com/ipo/reynolds-consumer-products/" xr:uid="{3B9591E3-EB77-4515-8D82-DB0D3D3B6ADE}"/>
    <hyperlink ref="B190" r:id="rId566" display="http://finance.yahoo.com/q?s=REYN" xr:uid="{D643AE39-00CF-4E20-85A0-EE33C014709E}"/>
    <hyperlink ref="C190" r:id="rId567" display="https://www.iposcoop.com/specific-industry/?industry=Consumer_Goods&amp;justPriced=1" xr:uid="{7D07F89E-18C8-4766-9BF0-904BC7F50365}"/>
    <hyperlink ref="A191" r:id="rId568" display="https://www.iposcoop.com/ipo/anpac-bio-medical-science/" xr:uid="{AA9BCB44-132F-41AE-8D28-4C3DA459A8EA}"/>
    <hyperlink ref="B191" r:id="rId569" display="http://finance.yahoo.com/q?s=ANPC" xr:uid="{7FAFF69E-CD28-473F-A8F2-E6BB9E6717C6}"/>
    <hyperlink ref="C191" r:id="rId570" display="https://www.iposcoop.com/specific-industry/?industry=Health_Care&amp;justPriced=1" xr:uid="{D2DD3EED-49DF-473A-93F3-F5BE9E63E1A2}"/>
    <hyperlink ref="A192" r:id="rId571" display="https://www.iposcoop.com/ipo/black-diamond-therapeutics/" xr:uid="{B32D55A5-F1A2-409E-8937-30D8421BDD1B}"/>
    <hyperlink ref="B192" r:id="rId572" display="http://finance.yahoo.com/q?s=BDTX" xr:uid="{300A3033-87A0-4BB7-A6F1-3159B385D38F}"/>
    <hyperlink ref="C192" r:id="rId573" display="https://www.iposcoop.com/specific-industry/?industry=Health_Care&amp;justPriced=1" xr:uid="{4BEBE5F6-E529-4C21-8777-8EFCA68C2E8D}"/>
    <hyperlink ref="A193" r:id="rId574" display="https://www.iposcoop.com/ipo/annovis-bio/" xr:uid="{C7D02679-8B7B-4964-918B-189BC50A56C6}"/>
    <hyperlink ref="B193" r:id="rId575" display="http://finance.yahoo.com/q?s=ANVS" xr:uid="{F23326D6-AE27-4479-A949-E318A4E0B3A2}"/>
    <hyperlink ref="C193" r:id="rId576" display="https://www.iposcoop.com/specific-industry/?industry=Health_Care&amp;justPriced=1" xr:uid="{E0862344-22E7-4CBB-8050-8CA24B795419}"/>
    <hyperlink ref="A194" r:id="rId577" display="https://www.iposcoop.com/ipo/i-mab/" xr:uid="{5F9BBBC5-7995-4401-B898-0D576E9772B9}"/>
    <hyperlink ref="B194" r:id="rId578" display="http://finance.yahoo.com/q?s=IMAB" xr:uid="{142C0402-4183-4F23-82C2-AD51A42AC12A}"/>
    <hyperlink ref="C194" r:id="rId579" display="https://www.iposcoop.com/specific-industry/?industry=Health_Care&amp;justPriced=1" xr:uid="{F01E8001-EC63-44CF-9FBA-46C9A2260F99}"/>
    <hyperlink ref="A195" r:id="rId580" display="https://www.iposcoop.com/ipo/lizhi/" xr:uid="{8A2925C3-CD13-48EC-8931-03D9A15B0471}"/>
    <hyperlink ref="B195" r:id="rId581" display="http://finance.yahoo.com/q?s=LIZI" xr:uid="{D62C59EF-7C9E-4862-8866-50741E386B1A}"/>
    <hyperlink ref="C195" r:id="rId582" display="https://www.iposcoop.com/specific-industry/?industry=Technology&amp;justPriced=1" xr:uid="{F356D479-0EE7-4D10-B452-342CC8B43DA8}"/>
    <hyperlink ref="A196" r:id="rId583" display="https://www.iposcoop.com/ipo/phoenix-tree-holdings-ltd/" xr:uid="{31718301-1974-4A39-9A38-9A99D07E54CC}"/>
    <hyperlink ref="B196" r:id="rId584" display="http://finance.yahoo.com/q?s=DNK" xr:uid="{F62FC051-EB42-4CF0-B407-3D0477FCBDC6}"/>
    <hyperlink ref="C196" r:id="rId585" display="https://www.iposcoop.com/specific-industry/?industry=Consumer_Services&amp;justPriced=1" xr:uid="{6F7C0ADC-97F6-48B6-ABF3-B369EF70D5A1}"/>
    <hyperlink ref="A197" r:id="rId586" display="https://www.iposcoop.com/ipo/velocity-financial/" xr:uid="{1B8F597C-F247-4F79-A34D-E5865E222BDC}"/>
    <hyperlink ref="B197" r:id="rId587" display="http://finance.yahoo.com/q?s=VEL" xr:uid="{D3C75D46-675A-42E0-B8B7-E9564377FE1C}"/>
    <hyperlink ref="C197" r:id="rId588" display="https://www.iposcoop.com/specific-industry/?industry=Financials&amp;justPriced=1" xr:uid="{0FCA5C02-221B-4915-83AF-E9E920E2E1F2}"/>
    <hyperlink ref="A198" r:id="rId589" display="https://www.iposcoop.com/ipo/molecular-data/" xr:uid="{2A21DEA7-448D-4238-8EE7-491528B20DF2}"/>
    <hyperlink ref="B198" r:id="rId590" display="http://finance.yahoo.com/q?s=MKD" xr:uid="{37F312EE-37E9-4548-86EF-67108CF4DBF1}"/>
    <hyperlink ref="C198" r:id="rId591" display="https://www.iposcoop.com/specific-industry/?industry=Consumer_Services&amp;justPriced=1" xr:uid="{0D4C9732-CC80-4368-BDB1-794F227152A2}"/>
    <hyperlink ref="A199" r:id="rId592" display="https://www.iposcoop.com/ipo/indonesia-energy-corp-ltd/" xr:uid="{DBEDAEEA-B031-4B94-8862-23EDFA0CD946}"/>
    <hyperlink ref="B199" r:id="rId593" display="http://finance.yahoo.com/q?s=INDO" xr:uid="{CB32D1E9-EA1F-402C-BDBF-52E5F00BA022}"/>
    <hyperlink ref="C199" r:id="rId594" display="https://www.iposcoop.com/specific-industry/?industry=Health_Care&amp;justPriced=1" xr:uid="{420F1B20-96A5-4889-BD8C-371422F94C28}"/>
    <hyperlink ref="A200" r:id="rId595" display="https://www.iposcoop.com/ipo/monopar-therapeutics/" xr:uid="{5470E4C7-BDBC-4CB8-9348-68FE47A24D17}"/>
    <hyperlink ref="B200" r:id="rId596" display="http://finance.yahoo.com/q?s=MNPR" xr:uid="{D09A1C74-791D-4AAB-BD3B-8F082535A772}"/>
    <hyperlink ref="C200" r:id="rId597" display="https://www.iposcoop.com/specific-industry/?industry=Health_Care&amp;justPriced=1" xr:uid="{03DA0131-146B-4607-84D3-856A3981FDDC}"/>
  </hyperlinks>
  <pageMargins left="0.7" right="0.7" top="0.75" bottom="0.75" header="0.3" footer="0.3"/>
  <pageSetup orientation="portrait" horizontalDpi="300" verticalDpi="300" r:id="rId5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Tarek</cp:lastModifiedBy>
  <dcterms:created xsi:type="dcterms:W3CDTF">2020-12-15T19:41:29Z</dcterms:created>
  <dcterms:modified xsi:type="dcterms:W3CDTF">2020-12-15T22:16:40Z</dcterms:modified>
</cp:coreProperties>
</file>